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filterPrivacy="1" codeName="ThisWorkbook"/>
  <xr:revisionPtr revIDLastSave="0" documentId="13_ncr:1_{80BDDB05-1B3D-42AF-AFCA-89E5EAA924A9}" xr6:coauthVersionLast="36" xr6:coauthVersionMax="36" xr10:uidLastSave="{00000000-0000-0000-0000-000000000000}"/>
  <bookViews>
    <workbookView xWindow="0" yWindow="0" windowWidth="12750" windowHeight="5610" xr2:uid="{00000000-000D-0000-FFFF-FFFF00000000}"/>
  </bookViews>
  <sheets>
    <sheet name="All Methods" sheetId="12" r:id="rId1"/>
    <sheet name="Power" sheetId="16" r:id="rId2"/>
    <sheet name="Algebra" sheetId="13" r:id="rId3"/>
    <sheet name="RGM" sheetId="14" r:id="rId4"/>
    <sheet name="ColNorm" sheetId="15" r:id="rId5"/>
  </sheets>
  <functionGroups builtInGroupCount="19"/>
  <calcPr calcId="191029" iterate="1" iterateCount="1000" iterateDelta="9.9999999999999994E-1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8" i="16" l="1"/>
  <c r="I98" i="16"/>
  <c r="H98" i="16"/>
  <c r="G98" i="16"/>
  <c r="F98" i="16"/>
  <c r="E98" i="16"/>
  <c r="D98" i="16"/>
  <c r="C98" i="16"/>
  <c r="I97" i="16"/>
  <c r="H97" i="16"/>
  <c r="G97" i="16"/>
  <c r="F97" i="16"/>
  <c r="E97" i="16"/>
  <c r="D97" i="16"/>
  <c r="C97" i="16"/>
  <c r="H96" i="16"/>
  <c r="G96" i="16"/>
  <c r="F96" i="16"/>
  <c r="E96" i="16"/>
  <c r="D96" i="16"/>
  <c r="C96" i="16"/>
  <c r="G95" i="16"/>
  <c r="F95" i="16"/>
  <c r="E95" i="16"/>
  <c r="D95" i="16"/>
  <c r="C95" i="16"/>
  <c r="F94" i="16"/>
  <c r="E94" i="16"/>
  <c r="D94" i="16"/>
  <c r="C94" i="16"/>
  <c r="E93" i="16"/>
  <c r="D93" i="16"/>
  <c r="C93" i="16"/>
  <c r="D92" i="16"/>
  <c r="C92" i="16"/>
  <c r="C91" i="16"/>
  <c r="I82" i="16"/>
  <c r="H82" i="16"/>
  <c r="G82" i="16"/>
  <c r="F82" i="16"/>
  <c r="E82" i="16"/>
  <c r="D82" i="16"/>
  <c r="C82" i="16"/>
  <c r="H81" i="16"/>
  <c r="G81" i="16"/>
  <c r="F81" i="16"/>
  <c r="E81" i="16"/>
  <c r="D81" i="16"/>
  <c r="C81" i="16"/>
  <c r="G80" i="16"/>
  <c r="F80" i="16"/>
  <c r="E80" i="16"/>
  <c r="D80" i="16"/>
  <c r="C80" i="16"/>
  <c r="F79" i="16"/>
  <c r="E79" i="16"/>
  <c r="D79" i="16"/>
  <c r="C79" i="16"/>
  <c r="E78" i="16"/>
  <c r="D78" i="16"/>
  <c r="C78" i="16"/>
  <c r="D77" i="16"/>
  <c r="C77" i="16"/>
  <c r="C76" i="16"/>
  <c r="H67" i="16"/>
  <c r="G67" i="16"/>
  <c r="F67" i="16"/>
  <c r="E67" i="16"/>
  <c r="D67" i="16"/>
  <c r="C67" i="16"/>
  <c r="G66" i="16"/>
  <c r="F66" i="16"/>
  <c r="E66" i="16"/>
  <c r="D66" i="16"/>
  <c r="C66" i="16"/>
  <c r="F65" i="16"/>
  <c r="E65" i="16"/>
  <c r="D65" i="16"/>
  <c r="C65" i="16"/>
  <c r="E64" i="16"/>
  <c r="D64" i="16"/>
  <c r="C64" i="16"/>
  <c r="D63" i="16"/>
  <c r="C63" i="16"/>
  <c r="C62" i="16"/>
  <c r="G53" i="16"/>
  <c r="F53" i="16"/>
  <c r="E53" i="16"/>
  <c r="D53" i="16"/>
  <c r="C53" i="16"/>
  <c r="F52" i="16"/>
  <c r="E52" i="16"/>
  <c r="D52" i="16"/>
  <c r="C52" i="16"/>
  <c r="E51" i="16"/>
  <c r="D51" i="16"/>
  <c r="C51" i="16"/>
  <c r="D50" i="16"/>
  <c r="C50" i="16"/>
  <c r="C49" i="16"/>
  <c r="F40" i="16"/>
  <c r="E40" i="16"/>
  <c r="D40" i="16"/>
  <c r="C40" i="16"/>
  <c r="E39" i="16"/>
  <c r="D39" i="16"/>
  <c r="C39" i="16"/>
  <c r="D38" i="16"/>
  <c r="C38" i="16"/>
  <c r="C37" i="16"/>
  <c r="E28" i="16"/>
  <c r="D28" i="16"/>
  <c r="C28" i="16"/>
  <c r="D27" i="16"/>
  <c r="C27" i="16"/>
  <c r="C26" i="16"/>
  <c r="D17" i="16"/>
  <c r="C17" i="16"/>
  <c r="C16" i="16"/>
  <c r="C7" i="16"/>
  <c r="J98" i="15"/>
  <c r="I98" i="15"/>
  <c r="H98" i="15"/>
  <c r="G98" i="15"/>
  <c r="F98" i="15"/>
  <c r="E98" i="15"/>
  <c r="D98" i="15"/>
  <c r="C98" i="15"/>
  <c r="I97" i="15"/>
  <c r="H97" i="15"/>
  <c r="G97" i="15"/>
  <c r="F97" i="15"/>
  <c r="E97" i="15"/>
  <c r="D97" i="15"/>
  <c r="C97" i="15"/>
  <c r="H96" i="15"/>
  <c r="G96" i="15"/>
  <c r="F96" i="15"/>
  <c r="E96" i="15"/>
  <c r="D96" i="15"/>
  <c r="C96" i="15"/>
  <c r="G95" i="15"/>
  <c r="F95" i="15"/>
  <c r="E95" i="15"/>
  <c r="D95" i="15"/>
  <c r="C95" i="15"/>
  <c r="F94" i="15"/>
  <c r="E94" i="15"/>
  <c r="D94" i="15"/>
  <c r="C94" i="15"/>
  <c r="E93" i="15"/>
  <c r="D93" i="15"/>
  <c r="C93" i="15"/>
  <c r="D92" i="15"/>
  <c r="C92" i="15"/>
  <c r="C91" i="15"/>
  <c r="I82" i="15"/>
  <c r="H82" i="15"/>
  <c r="G82" i="15"/>
  <c r="F82" i="15"/>
  <c r="E82" i="15"/>
  <c r="D82" i="15"/>
  <c r="C82" i="15"/>
  <c r="H81" i="15"/>
  <c r="G81" i="15"/>
  <c r="F81" i="15"/>
  <c r="E81" i="15"/>
  <c r="D81" i="15"/>
  <c r="C81" i="15"/>
  <c r="G80" i="15"/>
  <c r="F80" i="15"/>
  <c r="E80" i="15"/>
  <c r="D80" i="15"/>
  <c r="C80" i="15"/>
  <c r="F79" i="15"/>
  <c r="E79" i="15"/>
  <c r="D79" i="15"/>
  <c r="C79" i="15"/>
  <c r="E78" i="15"/>
  <c r="D78" i="15"/>
  <c r="C78" i="15"/>
  <c r="D77" i="15"/>
  <c r="C77" i="15"/>
  <c r="C76" i="15"/>
  <c r="H67" i="15"/>
  <c r="G67" i="15"/>
  <c r="F67" i="15"/>
  <c r="E67" i="15"/>
  <c r="D67" i="15"/>
  <c r="C67" i="15"/>
  <c r="G66" i="15"/>
  <c r="F66" i="15"/>
  <c r="E66" i="15"/>
  <c r="D66" i="15"/>
  <c r="C66" i="15"/>
  <c r="F65" i="15"/>
  <c r="E65" i="15"/>
  <c r="D65" i="15"/>
  <c r="C65" i="15"/>
  <c r="E64" i="15"/>
  <c r="D64" i="15"/>
  <c r="C64" i="15"/>
  <c r="D63" i="15"/>
  <c r="C63" i="15"/>
  <c r="C62" i="15"/>
  <c r="G53" i="15"/>
  <c r="F53" i="15"/>
  <c r="E53" i="15"/>
  <c r="D53" i="15"/>
  <c r="C53" i="15"/>
  <c r="F52" i="15"/>
  <c r="E52" i="15"/>
  <c r="D52" i="15"/>
  <c r="C52" i="15"/>
  <c r="E51" i="15"/>
  <c r="D51" i="15"/>
  <c r="C51" i="15"/>
  <c r="D50" i="15"/>
  <c r="C50" i="15"/>
  <c r="C49" i="15"/>
  <c r="F40" i="15"/>
  <c r="E40" i="15"/>
  <c r="D40" i="15"/>
  <c r="C40" i="15"/>
  <c r="E39" i="15"/>
  <c r="D39" i="15"/>
  <c r="C39" i="15"/>
  <c r="D38" i="15"/>
  <c r="C38" i="15"/>
  <c r="C37" i="15"/>
  <c r="E28" i="15"/>
  <c r="D28" i="15"/>
  <c r="C28" i="15"/>
  <c r="D27" i="15"/>
  <c r="C27" i="15"/>
  <c r="C26" i="15"/>
  <c r="D17" i="15"/>
  <c r="C17" i="15"/>
  <c r="C16" i="15"/>
  <c r="C7" i="15"/>
  <c r="J98" i="14"/>
  <c r="I98" i="14"/>
  <c r="H98" i="14"/>
  <c r="G98" i="14"/>
  <c r="F98" i="14"/>
  <c r="E98" i="14"/>
  <c r="D98" i="14"/>
  <c r="C98" i="14"/>
  <c r="I97" i="14"/>
  <c r="H97" i="14"/>
  <c r="G97" i="14"/>
  <c r="F97" i="14"/>
  <c r="E97" i="14"/>
  <c r="D97" i="14"/>
  <c r="C97" i="14"/>
  <c r="H96" i="14"/>
  <c r="G96" i="14"/>
  <c r="F96" i="14"/>
  <c r="E96" i="14"/>
  <c r="D96" i="14"/>
  <c r="C96" i="14"/>
  <c r="G95" i="14"/>
  <c r="F95" i="14"/>
  <c r="E95" i="14"/>
  <c r="D95" i="14"/>
  <c r="C95" i="14"/>
  <c r="F94" i="14"/>
  <c r="E94" i="14"/>
  <c r="D94" i="14"/>
  <c r="C94" i="14"/>
  <c r="E93" i="14"/>
  <c r="D93" i="14"/>
  <c r="C93" i="14"/>
  <c r="D92" i="14"/>
  <c r="C92" i="14"/>
  <c r="C91" i="14"/>
  <c r="I82" i="14"/>
  <c r="H82" i="14"/>
  <c r="G82" i="14"/>
  <c r="F82" i="14"/>
  <c r="E82" i="14"/>
  <c r="D82" i="14"/>
  <c r="C82" i="14"/>
  <c r="H81" i="14"/>
  <c r="G81" i="14"/>
  <c r="F81" i="14"/>
  <c r="E81" i="14"/>
  <c r="D81" i="14"/>
  <c r="C81" i="14"/>
  <c r="G80" i="14"/>
  <c r="F80" i="14"/>
  <c r="E80" i="14"/>
  <c r="D80" i="14"/>
  <c r="C80" i="14"/>
  <c r="F79" i="14"/>
  <c r="E79" i="14"/>
  <c r="D79" i="14"/>
  <c r="C79" i="14"/>
  <c r="E78" i="14"/>
  <c r="D78" i="14"/>
  <c r="C78" i="14"/>
  <c r="D77" i="14"/>
  <c r="C77" i="14"/>
  <c r="C76" i="14"/>
  <c r="H67" i="14"/>
  <c r="G67" i="14"/>
  <c r="F67" i="14"/>
  <c r="E67" i="14"/>
  <c r="D67" i="14"/>
  <c r="C67" i="14"/>
  <c r="G66" i="14"/>
  <c r="F66" i="14"/>
  <c r="E66" i="14"/>
  <c r="D66" i="14"/>
  <c r="C66" i="14"/>
  <c r="F65" i="14"/>
  <c r="E65" i="14"/>
  <c r="D65" i="14"/>
  <c r="C65" i="14"/>
  <c r="E64" i="14"/>
  <c r="D64" i="14"/>
  <c r="C64" i="14"/>
  <c r="D63" i="14"/>
  <c r="C63" i="14"/>
  <c r="C62" i="14"/>
  <c r="G53" i="14"/>
  <c r="F53" i="14"/>
  <c r="E53" i="14"/>
  <c r="D53" i="14"/>
  <c r="C53" i="14"/>
  <c r="F52" i="14"/>
  <c r="E52" i="14"/>
  <c r="D52" i="14"/>
  <c r="C52" i="14"/>
  <c r="E51" i="14"/>
  <c r="D51" i="14"/>
  <c r="C51" i="14"/>
  <c r="D50" i="14"/>
  <c r="C50" i="14"/>
  <c r="C49" i="14"/>
  <c r="F40" i="14"/>
  <c r="E40" i="14"/>
  <c r="D40" i="14"/>
  <c r="C40" i="14"/>
  <c r="E39" i="14"/>
  <c r="D39" i="14"/>
  <c r="C39" i="14"/>
  <c r="D38" i="14"/>
  <c r="C38" i="14"/>
  <c r="C37" i="14"/>
  <c r="E28" i="14"/>
  <c r="D28" i="14"/>
  <c r="C28" i="14"/>
  <c r="D27" i="14"/>
  <c r="C27" i="14"/>
  <c r="C26" i="14"/>
  <c r="D17" i="14"/>
  <c r="C17" i="14"/>
  <c r="C16" i="14"/>
  <c r="C7" i="14"/>
  <c r="J61" i="16" a="1"/>
  <c r="H36" i="16" a="1"/>
  <c r="J61" i="14" a="1"/>
  <c r="F15" i="14" a="1"/>
  <c r="I48" i="16" a="1"/>
  <c r="F15" i="13" a="1"/>
  <c r="I48" i="15" a="1"/>
  <c r="E6" i="15" a="1"/>
  <c r="J61" i="15" a="1"/>
  <c r="G25" i="16" a="1"/>
  <c r="G25" i="13" a="1"/>
  <c r="I48" i="14" a="1"/>
  <c r="E6" i="14" a="1"/>
  <c r="F15" i="16" a="1"/>
  <c r="L90" i="15" a="1"/>
  <c r="H36" i="15" a="1"/>
  <c r="E6" i="16" a="1"/>
  <c r="L90" i="14" a="1"/>
  <c r="H36" i="14" a="1"/>
  <c r="L90" i="16" a="1"/>
  <c r="K75" i="15" a="1"/>
  <c r="G25" i="15" a="1"/>
  <c r="F15" i="15" a="1"/>
  <c r="E6" i="13" a="1"/>
  <c r="K75" i="14" a="1"/>
  <c r="G25" i="14" a="1"/>
  <c r="K75" i="16" a="1"/>
  <c r="G25" i="13" l="1"/>
  <c r="G26" i="13"/>
  <c r="G27" i="13"/>
  <c r="G28" i="13"/>
  <c r="G29" i="13"/>
  <c r="G30" i="13"/>
  <c r="F15" i="13"/>
  <c r="F16" i="13"/>
  <c r="F17" i="13"/>
  <c r="F18" i="13"/>
  <c r="F19" i="13"/>
  <c r="H39" i="16"/>
  <c r="H36" i="16"/>
  <c r="H37" i="16"/>
  <c r="H38" i="16"/>
  <c r="H40" i="16"/>
  <c r="H41" i="16"/>
  <c r="H42" i="16"/>
  <c r="K82" i="16"/>
  <c r="K75" i="16"/>
  <c r="K83" i="16"/>
  <c r="K76" i="16"/>
  <c r="K84" i="16"/>
  <c r="K79" i="16"/>
  <c r="K77" i="16"/>
  <c r="K80" i="16"/>
  <c r="K78" i="16"/>
  <c r="K81" i="16"/>
  <c r="E8" i="13"/>
  <c r="E9" i="13"/>
  <c r="E6" i="13"/>
  <c r="E7" i="13"/>
  <c r="L99" i="16"/>
  <c r="L92" i="16"/>
  <c r="L95" i="16"/>
  <c r="L100" i="16"/>
  <c r="L96" i="16"/>
  <c r="L93" i="16"/>
  <c r="L97" i="16"/>
  <c r="L94" i="16"/>
  <c r="L90" i="16"/>
  <c r="L98" i="16"/>
  <c r="L91" i="16"/>
  <c r="E6" i="16"/>
  <c r="E7" i="16"/>
  <c r="E8" i="16"/>
  <c r="E9" i="16"/>
  <c r="F17" i="16"/>
  <c r="F18" i="16"/>
  <c r="F19" i="16"/>
  <c r="F15" i="16"/>
  <c r="F16" i="16"/>
  <c r="G30" i="16"/>
  <c r="G25" i="16"/>
  <c r="G26" i="16"/>
  <c r="G27" i="16"/>
  <c r="G28" i="16"/>
  <c r="G29" i="16"/>
  <c r="I52" i="16"/>
  <c r="I55" i="16"/>
  <c r="I48" i="16"/>
  <c r="I49" i="16"/>
  <c r="I50" i="16"/>
  <c r="I51" i="16"/>
  <c r="I53" i="16"/>
  <c r="I54" i="16"/>
  <c r="J65" i="16"/>
  <c r="J66" i="16"/>
  <c r="J67" i="16"/>
  <c r="J68" i="16"/>
  <c r="J61" i="16"/>
  <c r="J69" i="16"/>
  <c r="J62" i="16"/>
  <c r="J64" i="16"/>
  <c r="J63" i="16"/>
  <c r="L94" i="15"/>
  <c r="L97" i="15"/>
  <c r="L90" i="15"/>
  <c r="L98" i="15"/>
  <c r="L91" i="15"/>
  <c r="L99" i="15"/>
  <c r="L92" i="15"/>
  <c r="L100" i="15"/>
  <c r="L95" i="15"/>
  <c r="L96" i="15"/>
  <c r="L93" i="15"/>
  <c r="K79" i="15"/>
  <c r="K80" i="15"/>
  <c r="K81" i="15"/>
  <c r="K82" i="15"/>
  <c r="K75" i="15"/>
  <c r="K83" i="15"/>
  <c r="K76" i="15"/>
  <c r="K84" i="15"/>
  <c r="K77" i="15"/>
  <c r="K78" i="15"/>
  <c r="J66" i="15"/>
  <c r="J67" i="15"/>
  <c r="J68" i="15"/>
  <c r="J61" i="15"/>
  <c r="J69" i="15"/>
  <c r="J62" i="15"/>
  <c r="J63" i="15"/>
  <c r="J64" i="15"/>
  <c r="J65" i="15"/>
  <c r="I52" i="15"/>
  <c r="I51" i="15"/>
  <c r="I53" i="15"/>
  <c r="I54" i="15"/>
  <c r="I55" i="15"/>
  <c r="I48" i="15"/>
  <c r="I49" i="15"/>
  <c r="I50" i="15"/>
  <c r="H38" i="15"/>
  <c r="H37" i="15"/>
  <c r="H39" i="15"/>
  <c r="H40" i="15"/>
  <c r="H36" i="15"/>
  <c r="H41" i="15"/>
  <c r="H42" i="15"/>
  <c r="G30" i="15"/>
  <c r="G25" i="15"/>
  <c r="G26" i="15"/>
  <c r="G27" i="15"/>
  <c r="G28" i="15"/>
  <c r="G29" i="15"/>
  <c r="F19" i="15"/>
  <c r="F18" i="15"/>
  <c r="F15" i="15"/>
  <c r="F16" i="15"/>
  <c r="F17" i="15"/>
  <c r="E9" i="15"/>
  <c r="E7" i="15"/>
  <c r="E8" i="15"/>
  <c r="E6" i="15"/>
  <c r="L94" i="14"/>
  <c r="L97" i="14"/>
  <c r="L90" i="14"/>
  <c r="L98" i="14"/>
  <c r="L91" i="14"/>
  <c r="L99" i="14"/>
  <c r="L92" i="14"/>
  <c r="L100" i="14"/>
  <c r="L93" i="14"/>
  <c r="L95" i="14"/>
  <c r="L96" i="14"/>
  <c r="K79" i="14"/>
  <c r="K82" i="14"/>
  <c r="K75" i="14"/>
  <c r="K83" i="14"/>
  <c r="K76" i="14"/>
  <c r="K84" i="14"/>
  <c r="K77" i="14"/>
  <c r="K78" i="14"/>
  <c r="K80" i="14"/>
  <c r="K81" i="14"/>
  <c r="J65" i="14"/>
  <c r="J67" i="14"/>
  <c r="J68" i="14"/>
  <c r="J61" i="14"/>
  <c r="J69" i="14"/>
  <c r="J62" i="14"/>
  <c r="J63" i="14"/>
  <c r="J64" i="14"/>
  <c r="J66" i="14"/>
  <c r="I50" i="14"/>
  <c r="I53" i="14"/>
  <c r="I51" i="14"/>
  <c r="I52" i="14"/>
  <c r="I54" i="14"/>
  <c r="I55" i="14"/>
  <c r="I48" i="14"/>
  <c r="I49" i="14"/>
  <c r="H36" i="14"/>
  <c r="H37" i="14"/>
  <c r="H38" i="14"/>
  <c r="H39" i="14"/>
  <c r="H41" i="14"/>
  <c r="H42" i="14"/>
  <c r="H40" i="14"/>
  <c r="G30" i="14"/>
  <c r="G25" i="14"/>
  <c r="G26" i="14"/>
  <c r="G27" i="14"/>
  <c r="G28" i="14"/>
  <c r="G29" i="14"/>
  <c r="F15" i="14"/>
  <c r="F16" i="14"/>
  <c r="F17" i="14"/>
  <c r="F18" i="14"/>
  <c r="F19" i="14"/>
  <c r="E6" i="14"/>
  <c r="E7" i="14"/>
  <c r="E8" i="14"/>
  <c r="E9" i="14"/>
  <c r="J98" i="13"/>
  <c r="I98" i="13"/>
  <c r="H98" i="13"/>
  <c r="G98" i="13"/>
  <c r="F98" i="13"/>
  <c r="E98" i="13"/>
  <c r="D98" i="13"/>
  <c r="C98" i="13"/>
  <c r="I97" i="13"/>
  <c r="H97" i="13"/>
  <c r="G97" i="13"/>
  <c r="F97" i="13"/>
  <c r="E97" i="13"/>
  <c r="D97" i="13"/>
  <c r="C97" i="13"/>
  <c r="H96" i="13"/>
  <c r="G96" i="13"/>
  <c r="F96" i="13"/>
  <c r="E96" i="13"/>
  <c r="D96" i="13"/>
  <c r="C96" i="13"/>
  <c r="G95" i="13"/>
  <c r="F95" i="13"/>
  <c r="E95" i="13"/>
  <c r="D95" i="13"/>
  <c r="C95" i="13"/>
  <c r="F94" i="13"/>
  <c r="E94" i="13"/>
  <c r="D94" i="13"/>
  <c r="C94" i="13"/>
  <c r="E93" i="13"/>
  <c r="D93" i="13"/>
  <c r="C93" i="13"/>
  <c r="D92" i="13"/>
  <c r="C92" i="13"/>
  <c r="C91" i="13"/>
  <c r="I82" i="13"/>
  <c r="H82" i="13"/>
  <c r="G82" i="13"/>
  <c r="F82" i="13"/>
  <c r="E82" i="13"/>
  <c r="D82" i="13"/>
  <c r="C82" i="13"/>
  <c r="H81" i="13"/>
  <c r="G81" i="13"/>
  <c r="F81" i="13"/>
  <c r="E81" i="13"/>
  <c r="D81" i="13"/>
  <c r="C81" i="13"/>
  <c r="G80" i="13"/>
  <c r="F80" i="13"/>
  <c r="E80" i="13"/>
  <c r="D80" i="13"/>
  <c r="C80" i="13"/>
  <c r="F79" i="13"/>
  <c r="E79" i="13"/>
  <c r="D79" i="13"/>
  <c r="C79" i="13"/>
  <c r="E78" i="13"/>
  <c r="D78" i="13"/>
  <c r="C78" i="13"/>
  <c r="D77" i="13"/>
  <c r="C77" i="13"/>
  <c r="C76" i="13"/>
  <c r="H67" i="13"/>
  <c r="G67" i="13"/>
  <c r="F67" i="13"/>
  <c r="E67" i="13"/>
  <c r="D67" i="13"/>
  <c r="C67" i="13"/>
  <c r="G66" i="13"/>
  <c r="F66" i="13"/>
  <c r="E66" i="13"/>
  <c r="D66" i="13"/>
  <c r="C66" i="13"/>
  <c r="F65" i="13"/>
  <c r="E65" i="13"/>
  <c r="D65" i="13"/>
  <c r="C65" i="13"/>
  <c r="E64" i="13"/>
  <c r="D64" i="13"/>
  <c r="C64" i="13"/>
  <c r="D63" i="13"/>
  <c r="C63" i="13"/>
  <c r="C62" i="13"/>
  <c r="G53" i="13"/>
  <c r="F53" i="13"/>
  <c r="E53" i="13"/>
  <c r="D53" i="13"/>
  <c r="C53" i="13"/>
  <c r="F52" i="13"/>
  <c r="E52" i="13"/>
  <c r="D52" i="13"/>
  <c r="C52" i="13"/>
  <c r="E51" i="13"/>
  <c r="D51" i="13"/>
  <c r="C51" i="13"/>
  <c r="D50" i="13"/>
  <c r="C50" i="13"/>
  <c r="C49" i="13"/>
  <c r="F40" i="13"/>
  <c r="E40" i="13"/>
  <c r="D40" i="13"/>
  <c r="C40" i="13"/>
  <c r="E39" i="13"/>
  <c r="D39" i="13"/>
  <c r="C39" i="13"/>
  <c r="D38" i="13"/>
  <c r="C38" i="13"/>
  <c r="C37" i="13"/>
  <c r="E28" i="13"/>
  <c r="D28" i="13"/>
  <c r="C28" i="13"/>
  <c r="D27" i="13"/>
  <c r="C27" i="13"/>
  <c r="C26" i="13"/>
  <c r="D17" i="13"/>
  <c r="C17" i="13"/>
  <c r="C16" i="13"/>
  <c r="C7" i="13"/>
  <c r="J61" i="13" a="1"/>
  <c r="L90" i="13" a="1"/>
  <c r="I48" i="13" a="1"/>
  <c r="K75" i="13" a="1"/>
  <c r="H36" i="13" a="1"/>
  <c r="H42" i="13" l="1"/>
  <c r="H41" i="13"/>
  <c r="H38" i="13"/>
  <c r="H37" i="13"/>
  <c r="H36" i="13"/>
  <c r="H40" i="13"/>
  <c r="H39" i="13"/>
  <c r="K79" i="13"/>
  <c r="K78" i="13"/>
  <c r="K77" i="13"/>
  <c r="K80" i="13"/>
  <c r="K76" i="13"/>
  <c r="K75" i="13"/>
  <c r="K84" i="13"/>
  <c r="K83" i="13"/>
  <c r="K82" i="13"/>
  <c r="K81" i="13"/>
  <c r="L94" i="13"/>
  <c r="L93" i="13"/>
  <c r="L100" i="13"/>
  <c r="L92" i="13"/>
  <c r="L95" i="13"/>
  <c r="L91" i="13"/>
  <c r="L90" i="13"/>
  <c r="L99" i="13"/>
  <c r="L98" i="13"/>
  <c r="L97" i="13"/>
  <c r="L96" i="13"/>
  <c r="I52" i="13"/>
  <c r="I51" i="13"/>
  <c r="I48" i="13"/>
  <c r="I55" i="13"/>
  <c r="I54" i="13"/>
  <c r="I53" i="13"/>
  <c r="I50" i="13"/>
  <c r="I49" i="13"/>
  <c r="J62" i="13"/>
  <c r="J69" i="13"/>
  <c r="J61" i="13"/>
  <c r="J68" i="13"/>
  <c r="J64" i="13"/>
  <c r="J63" i="13"/>
  <c r="J67" i="13"/>
  <c r="J66" i="13"/>
  <c r="J65" i="13"/>
  <c r="J98" i="12"/>
  <c r="I98" i="12"/>
  <c r="H98" i="12"/>
  <c r="G98" i="12"/>
  <c r="F98" i="12"/>
  <c r="E98" i="12"/>
  <c r="D98" i="12"/>
  <c r="C98" i="12"/>
  <c r="I97" i="12"/>
  <c r="H97" i="12"/>
  <c r="G97" i="12"/>
  <c r="F97" i="12"/>
  <c r="E97" i="12"/>
  <c r="D97" i="12"/>
  <c r="C97" i="12"/>
  <c r="H96" i="12"/>
  <c r="G96" i="12"/>
  <c r="F96" i="12"/>
  <c r="E96" i="12"/>
  <c r="D96" i="12"/>
  <c r="C96" i="12"/>
  <c r="G95" i="12"/>
  <c r="F95" i="12"/>
  <c r="E95" i="12"/>
  <c r="D95" i="12"/>
  <c r="C95" i="12"/>
  <c r="F94" i="12"/>
  <c r="E94" i="12"/>
  <c r="D94" i="12"/>
  <c r="C94" i="12"/>
  <c r="E93" i="12"/>
  <c r="D93" i="12"/>
  <c r="C93" i="12"/>
  <c r="D92" i="12"/>
  <c r="C92" i="12"/>
  <c r="C91" i="12"/>
  <c r="I82" i="12"/>
  <c r="H82" i="12"/>
  <c r="G82" i="12"/>
  <c r="F82" i="12"/>
  <c r="E82" i="12"/>
  <c r="D82" i="12"/>
  <c r="C82" i="12"/>
  <c r="H81" i="12"/>
  <c r="G81" i="12"/>
  <c r="F81" i="12"/>
  <c r="E81" i="12"/>
  <c r="D81" i="12"/>
  <c r="C81" i="12"/>
  <c r="G80" i="12"/>
  <c r="F80" i="12"/>
  <c r="E80" i="12"/>
  <c r="D80" i="12"/>
  <c r="C80" i="12"/>
  <c r="F79" i="12"/>
  <c r="E79" i="12"/>
  <c r="D79" i="12"/>
  <c r="C79" i="12"/>
  <c r="E78" i="12"/>
  <c r="D78" i="12"/>
  <c r="C78" i="12"/>
  <c r="D77" i="12"/>
  <c r="C77" i="12"/>
  <c r="C76" i="12"/>
  <c r="H67" i="12"/>
  <c r="G67" i="12"/>
  <c r="F67" i="12"/>
  <c r="E67" i="12"/>
  <c r="D67" i="12"/>
  <c r="C67" i="12"/>
  <c r="G66" i="12"/>
  <c r="F66" i="12"/>
  <c r="E66" i="12"/>
  <c r="D66" i="12"/>
  <c r="C66" i="12"/>
  <c r="F65" i="12"/>
  <c r="E65" i="12"/>
  <c r="D65" i="12"/>
  <c r="C65" i="12"/>
  <c r="E64" i="12"/>
  <c r="D64" i="12"/>
  <c r="C64" i="12"/>
  <c r="D63" i="12"/>
  <c r="C63" i="12"/>
  <c r="C62" i="12"/>
  <c r="G53" i="12"/>
  <c r="F53" i="12"/>
  <c r="E53" i="12"/>
  <c r="D53" i="12"/>
  <c r="C53" i="12"/>
  <c r="F52" i="12"/>
  <c r="E52" i="12"/>
  <c r="D52" i="12"/>
  <c r="C52" i="12"/>
  <c r="E51" i="12"/>
  <c r="D51" i="12"/>
  <c r="C51" i="12"/>
  <c r="D50" i="12"/>
  <c r="C50" i="12"/>
  <c r="C49" i="12"/>
  <c r="F40" i="12"/>
  <c r="E40" i="12"/>
  <c r="D40" i="12"/>
  <c r="C40" i="12"/>
  <c r="E39" i="12"/>
  <c r="D39" i="12"/>
  <c r="C39" i="12"/>
  <c r="D38" i="12"/>
  <c r="C38" i="12"/>
  <c r="C37" i="12"/>
  <c r="E28" i="12"/>
  <c r="D28" i="12"/>
  <c r="C28" i="12"/>
  <c r="D27" i="12"/>
  <c r="C27" i="12"/>
  <c r="C26" i="12"/>
  <c r="D17" i="12"/>
  <c r="C17" i="12"/>
  <c r="C16" i="12"/>
  <c r="C7" i="12"/>
  <c r="O90" i="12" a="1"/>
  <c r="E6" i="12" a="1"/>
  <c r="K75" i="12" a="1"/>
  <c r="M61" i="12" a="1"/>
  <c r="N90" i="12" a="1"/>
  <c r="I15" i="12" a="1"/>
  <c r="I25" i="12" a="1"/>
  <c r="H36" i="12" a="1"/>
  <c r="L48" i="12" a="1"/>
  <c r="H6" i="12" a="1"/>
  <c r="H15" i="12" a="1"/>
  <c r="G6" i="12" a="1"/>
  <c r="L90" i="12" a="1"/>
  <c r="K61" i="12" a="1"/>
  <c r="G25" i="12" a="1"/>
  <c r="J61" i="12" a="1"/>
  <c r="F6" i="12" a="1"/>
  <c r="L61" i="12" a="1"/>
  <c r="G15" i="12" a="1"/>
  <c r="K36" i="12" a="1"/>
  <c r="I48" i="12" a="1"/>
  <c r="I36" i="12" a="1"/>
  <c r="F15" i="12" a="1"/>
  <c r="H25" i="12" a="1"/>
  <c r="M90" i="12" a="1"/>
  <c r="J25" i="12" a="1"/>
  <c r="M75" i="12" a="1"/>
  <c r="J36" i="12" a="1"/>
  <c r="L75" i="12" a="1"/>
  <c r="J48" i="12" a="1"/>
  <c r="N75" i="12" a="1"/>
  <c r="K48" i="12" a="1"/>
  <c r="O91" i="12" l="1"/>
  <c r="O99" i="12"/>
  <c r="O92" i="12"/>
  <c r="O100" i="12"/>
  <c r="O93" i="12"/>
  <c r="O94" i="12"/>
  <c r="O95" i="12"/>
  <c r="O96" i="12"/>
  <c r="O97" i="12"/>
  <c r="O90" i="12"/>
  <c r="O98" i="12"/>
  <c r="N76" i="12"/>
  <c r="N84" i="12"/>
  <c r="N80" i="12"/>
  <c r="N77" i="12"/>
  <c r="N78" i="12"/>
  <c r="N79" i="12"/>
  <c r="N81" i="12"/>
  <c r="N82" i="12"/>
  <c r="N75" i="12"/>
  <c r="N83" i="12"/>
  <c r="M62" i="12"/>
  <c r="M64" i="12"/>
  <c r="M65" i="12"/>
  <c r="M67" i="12"/>
  <c r="M68" i="12"/>
  <c r="M61" i="12"/>
  <c r="M69" i="12"/>
  <c r="M63" i="12"/>
  <c r="M66" i="12"/>
  <c r="L49" i="12"/>
  <c r="L50" i="12"/>
  <c r="L51" i="12"/>
  <c r="L52" i="12"/>
  <c r="L53" i="12"/>
  <c r="L54" i="12"/>
  <c r="L55" i="12"/>
  <c r="L48" i="12"/>
  <c r="K38" i="12"/>
  <c r="K39" i="12"/>
  <c r="K40" i="12"/>
  <c r="K41" i="12"/>
  <c r="K42" i="12"/>
  <c r="K36" i="12"/>
  <c r="K37" i="12"/>
  <c r="J25" i="12"/>
  <c r="J26" i="12"/>
  <c r="J27" i="12"/>
  <c r="J28" i="12"/>
  <c r="J29" i="12"/>
  <c r="J30" i="12"/>
  <c r="I15" i="12"/>
  <c r="I16" i="12"/>
  <c r="I17" i="12"/>
  <c r="I18" i="12"/>
  <c r="I19" i="12"/>
  <c r="H8" i="12"/>
  <c r="H9" i="12"/>
  <c r="H6" i="12"/>
  <c r="H7" i="12"/>
  <c r="N91" i="12"/>
  <c r="N99" i="12"/>
  <c r="N94" i="12"/>
  <c r="N95" i="12"/>
  <c r="N97" i="12"/>
  <c r="N90" i="12"/>
  <c r="N98" i="12"/>
  <c r="N92" i="12"/>
  <c r="N100" i="12"/>
  <c r="N93" i="12"/>
  <c r="N96" i="12"/>
  <c r="M76" i="12"/>
  <c r="M84" i="12"/>
  <c r="M77" i="12"/>
  <c r="M78" i="12"/>
  <c r="M79" i="12"/>
  <c r="M80" i="12"/>
  <c r="M81" i="12"/>
  <c r="M82" i="12"/>
  <c r="M75" i="12"/>
  <c r="M83" i="12"/>
  <c r="L62" i="12"/>
  <c r="L64" i="12"/>
  <c r="L66" i="12"/>
  <c r="L67" i="12"/>
  <c r="L63" i="12"/>
  <c r="L65" i="12"/>
  <c r="L68" i="12"/>
  <c r="L61" i="12"/>
  <c r="L69" i="12"/>
  <c r="K49" i="12"/>
  <c r="K51" i="12"/>
  <c r="K52" i="12"/>
  <c r="K53" i="12"/>
  <c r="K54" i="12"/>
  <c r="K50" i="12"/>
  <c r="K55" i="12"/>
  <c r="K48" i="12"/>
  <c r="J37" i="12"/>
  <c r="J41" i="12"/>
  <c r="J42" i="12"/>
  <c r="J36" i="12"/>
  <c r="J38" i="12"/>
  <c r="J39" i="12"/>
  <c r="J40" i="12"/>
  <c r="I26" i="12"/>
  <c r="I29" i="12"/>
  <c r="I27" i="12"/>
  <c r="I28" i="12"/>
  <c r="I25" i="12"/>
  <c r="I30" i="12"/>
  <c r="H16" i="12"/>
  <c r="H17" i="12"/>
  <c r="H18" i="12"/>
  <c r="H19" i="12"/>
  <c r="H15" i="12"/>
  <c r="G8" i="12"/>
  <c r="G9" i="12"/>
  <c r="G6" i="12"/>
  <c r="G7" i="12"/>
  <c r="M91" i="12"/>
  <c r="M99" i="12"/>
  <c r="M94" i="12"/>
  <c r="M96" i="12"/>
  <c r="M92" i="12"/>
  <c r="M100" i="12"/>
  <c r="M93" i="12"/>
  <c r="M95" i="12"/>
  <c r="M97" i="12"/>
  <c r="M90" i="12"/>
  <c r="M98" i="12"/>
  <c r="L76" i="12"/>
  <c r="L84" i="12"/>
  <c r="L80" i="12"/>
  <c r="L77" i="12"/>
  <c r="L78" i="12"/>
  <c r="L79" i="12"/>
  <c r="L81" i="12"/>
  <c r="L82" i="12"/>
  <c r="L75" i="12"/>
  <c r="L83" i="12"/>
  <c r="K62" i="12"/>
  <c r="K64" i="12"/>
  <c r="K65" i="12"/>
  <c r="K66" i="12"/>
  <c r="K67" i="12"/>
  <c r="K63" i="12"/>
  <c r="K68" i="12"/>
  <c r="K61" i="12"/>
  <c r="K69" i="12"/>
  <c r="J49" i="12"/>
  <c r="J52" i="12"/>
  <c r="J53" i="12"/>
  <c r="J55" i="12"/>
  <c r="J48" i="12"/>
  <c r="J50" i="12"/>
  <c r="J51" i="12"/>
  <c r="J54" i="12"/>
  <c r="I37" i="12"/>
  <c r="I40" i="12"/>
  <c r="I41" i="12"/>
  <c r="I38" i="12"/>
  <c r="I39" i="12"/>
  <c r="I42" i="12"/>
  <c r="I36" i="12"/>
  <c r="H26" i="12"/>
  <c r="H28" i="12"/>
  <c r="H29" i="12"/>
  <c r="H30" i="12"/>
  <c r="H27" i="12"/>
  <c r="H25" i="12"/>
  <c r="G16" i="12"/>
  <c r="G17" i="12"/>
  <c r="G18" i="12"/>
  <c r="G19" i="12"/>
  <c r="G15" i="12"/>
  <c r="F8" i="12"/>
  <c r="F9" i="12"/>
  <c r="F6" i="12"/>
  <c r="F7" i="12"/>
  <c r="L91" i="12"/>
  <c r="L99" i="12"/>
  <c r="L92" i="12"/>
  <c r="L100" i="12"/>
  <c r="L93" i="12"/>
  <c r="L94" i="12"/>
  <c r="L95" i="12"/>
  <c r="L96" i="12"/>
  <c r="L97" i="12"/>
  <c r="L90" i="12"/>
  <c r="L98" i="12"/>
  <c r="K77" i="12"/>
  <c r="K78" i="12"/>
  <c r="K79" i="12"/>
  <c r="K80" i="12"/>
  <c r="K81" i="12"/>
  <c r="K82" i="12"/>
  <c r="K75" i="12"/>
  <c r="K83" i="12"/>
  <c r="K76" i="12"/>
  <c r="K84" i="12"/>
  <c r="J62" i="12"/>
  <c r="J65" i="12"/>
  <c r="J63" i="12"/>
  <c r="J64" i="12"/>
  <c r="J66" i="12"/>
  <c r="J67" i="12"/>
  <c r="J68" i="12"/>
  <c r="J61" i="12"/>
  <c r="J69" i="12"/>
  <c r="I49" i="12"/>
  <c r="I50" i="12"/>
  <c r="I51" i="12"/>
  <c r="I52" i="12"/>
  <c r="I53" i="12"/>
  <c r="I54" i="12"/>
  <c r="I55" i="12"/>
  <c r="I48" i="12"/>
  <c r="H37" i="12"/>
  <c r="H39" i="12"/>
  <c r="H40" i="12"/>
  <c r="H41" i="12"/>
  <c r="H42" i="12"/>
  <c r="H38" i="12"/>
  <c r="H36" i="12"/>
  <c r="G25" i="12"/>
  <c r="G26" i="12"/>
  <c r="G28" i="12"/>
  <c r="G29" i="12"/>
  <c r="G30" i="12"/>
  <c r="G27" i="12"/>
  <c r="E7" i="12"/>
  <c r="E8" i="12"/>
  <c r="E9" i="12"/>
  <c r="E6" i="12"/>
  <c r="F16" i="12"/>
  <c r="F17" i="12"/>
  <c r="F18" i="12"/>
  <c r="F19" i="12"/>
  <c r="F15" i="12"/>
</calcChain>
</file>

<file path=xl/sharedStrings.xml><?xml version="1.0" encoding="utf-8"?>
<sst xmlns="http://schemas.openxmlformats.org/spreadsheetml/2006/main" count="678" uniqueCount="27">
  <si>
    <t>C1</t>
  </si>
  <si>
    <t>C2</t>
  </si>
  <si>
    <t>A 2x2 matrix is always pefectly consistent</t>
  </si>
  <si>
    <t>C3</t>
  </si>
  <si>
    <t>CR =</t>
  </si>
  <si>
    <t>C4</t>
  </si>
  <si>
    <t>C5</t>
  </si>
  <si>
    <t>C6</t>
  </si>
  <si>
    <t>C7</t>
  </si>
  <si>
    <t>C8</t>
  </si>
  <si>
    <t>C9</t>
  </si>
  <si>
    <t>w</t>
  </si>
  <si>
    <t>RGM</t>
  </si>
  <si>
    <t>Power</t>
  </si>
  <si>
    <t>ColNorm</t>
  </si>
  <si>
    <t>Compute AHP matrix using user defined functions</t>
  </si>
  <si>
    <t>Algebra</t>
  </si>
  <si>
    <t>l =</t>
  </si>
  <si>
    <t>Preferred</t>
  </si>
  <si>
    <t>Compute AHP matrix using UDF (Algebra method)</t>
  </si>
  <si>
    <t>Compute AHP matrix using UDF (Power method)</t>
  </si>
  <si>
    <t>Compute AHP matrix using UDF (RGM approximation method)</t>
  </si>
  <si>
    <t>Compute AHP matrix using UDF (Column Normalizatin approximation method)</t>
  </si>
  <si>
    <t>Warning: This method is not very accurate</t>
  </si>
  <si>
    <t>Warning: This method is not accurate when n is large</t>
  </si>
  <si>
    <t>This is the most preferred method</t>
  </si>
  <si>
    <t>This is a good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</si>
</sst>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#\ ???/???"/>
    <numFmt numFmtId="166" formatCode="0.0"/>
    <numFmt numFmtId="167" formatCode="0.00000"/>
    <numFmt numFmtId="168" formatCode="0.00000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Times New Roman"/>
      <family val="1"/>
    </font>
    <font>
      <sz val="10"/>
      <color theme="1"/>
      <name val="Times New Roman"/>
      <family val="1"/>
    </font>
    <font>
      <sz val="10"/>
      <name val="Symbol"/>
      <family val="1"/>
      <charset val="2"/>
    </font>
    <font>
      <b/>
      <i/>
      <sz val="10"/>
      <name val="Times New Roman"/>
      <family val="1"/>
    </font>
    <font>
      <sz val="9"/>
      <name val="Times New Roman"/>
      <family val="1"/>
    </font>
    <font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9" fillId="8" borderId="0" applyNumberFormat="0" applyBorder="0" applyAlignment="0" applyProtection="0"/>
  </cellStyleXfs>
  <cellXfs count="48">
    <xf numFmtId="0" fontId="0" fillId="0" borderId="0" xfId="0"/>
    <xf numFmtId="0" fontId="2" fillId="2" borderId="0" xfId="1" applyFont="1" applyFill="1" applyAlignment="1">
      <alignment horizontal="left"/>
    </xf>
    <xf numFmtId="0" fontId="2" fillId="2" borderId="0" xfId="1" applyFont="1" applyFill="1"/>
    <xf numFmtId="0" fontId="3" fillId="0" borderId="0" xfId="1" applyFont="1"/>
    <xf numFmtId="0" fontId="1" fillId="0" borderId="0" xfId="1"/>
    <xf numFmtId="0" fontId="1" fillId="0" borderId="0" xfId="1" applyFont="1" applyFill="1"/>
    <xf numFmtId="0" fontId="1" fillId="0" borderId="0" xfId="1" applyFont="1"/>
    <xf numFmtId="0" fontId="4" fillId="0" borderId="0" xfId="1" applyFont="1"/>
    <xf numFmtId="0" fontId="4" fillId="0" borderId="0" xfId="1" applyFont="1" applyFill="1"/>
    <xf numFmtId="0" fontId="4" fillId="4" borderId="1" xfId="1" applyFont="1" applyFill="1" applyBorder="1"/>
    <xf numFmtId="0" fontId="4" fillId="5" borderId="1" xfId="1" applyFont="1" applyFill="1" applyBorder="1" applyAlignment="1">
      <alignment horizontal="center"/>
    </xf>
    <xf numFmtId="0" fontId="4" fillId="6" borderId="2" xfId="1" applyFont="1" applyFill="1" applyBorder="1" applyAlignment="1">
      <alignment horizontal="center"/>
    </xf>
    <xf numFmtId="165" fontId="5" fillId="5" borderId="1" xfId="1" applyNumberFormat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/>
    </xf>
    <xf numFmtId="165" fontId="5" fillId="0" borderId="0" xfId="1" applyNumberFormat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/>
    </xf>
    <xf numFmtId="0" fontId="4" fillId="6" borderId="1" xfId="1" applyFont="1" applyFill="1" applyBorder="1" applyAlignment="1">
      <alignment horizontal="center"/>
    </xf>
    <xf numFmtId="164" fontId="4" fillId="0" borderId="0" xfId="1" applyNumberFormat="1" applyFont="1" applyFill="1" applyBorder="1" applyAlignment="1">
      <alignment horizontal="center"/>
    </xf>
    <xf numFmtId="166" fontId="4" fillId="0" borderId="0" xfId="1" applyNumberFormat="1" applyFont="1" applyFill="1" applyBorder="1" applyAlignment="1">
      <alignment horizontal="center"/>
    </xf>
    <xf numFmtId="0" fontId="4" fillId="0" borderId="0" xfId="1" applyFont="1" applyAlignment="1">
      <alignment horizontal="center"/>
    </xf>
    <xf numFmtId="164" fontId="4" fillId="0" borderId="0" xfId="1" applyNumberFormat="1" applyFont="1"/>
    <xf numFmtId="0" fontId="4" fillId="6" borderId="3" xfId="1" applyFont="1" applyFill="1" applyBorder="1" applyAlignment="1">
      <alignment horizontal="center"/>
    </xf>
    <xf numFmtId="165" fontId="5" fillId="5" borderId="3" xfId="1" applyNumberFormat="1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/>
    </xf>
    <xf numFmtId="164" fontId="4" fillId="0" borderId="0" xfId="1" applyNumberFormat="1" applyFont="1" applyFill="1"/>
    <xf numFmtId="0" fontId="7" fillId="4" borderId="1" xfId="1" applyFont="1" applyFill="1" applyBorder="1" applyAlignment="1">
      <alignment horizontal="center"/>
    </xf>
    <xf numFmtId="167" fontId="4" fillId="0" borderId="1" xfId="1" applyNumberFormat="1" applyFont="1" applyBorder="1" applyAlignment="1">
      <alignment horizontal="center"/>
    </xf>
    <xf numFmtId="168" fontId="4" fillId="7" borderId="1" xfId="1" applyNumberFormat="1" applyFont="1" applyFill="1" applyBorder="1" applyAlignment="1">
      <alignment horizontal="center"/>
    </xf>
    <xf numFmtId="168" fontId="4" fillId="3" borderId="1" xfId="1" applyNumberFormat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168" fontId="4" fillId="5" borderId="1" xfId="1" applyNumberFormat="1" applyFont="1" applyFill="1" applyBorder="1" applyAlignment="1">
      <alignment horizontal="center"/>
    </xf>
    <xf numFmtId="168" fontId="4" fillId="0" borderId="1" xfId="1" applyNumberFormat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2" fontId="4" fillId="3" borderId="1" xfId="1" applyNumberFormat="1" applyFont="1" applyFill="1" applyBorder="1" applyAlignment="1">
      <alignment horizontal="center"/>
    </xf>
    <xf numFmtId="168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0" fontId="4" fillId="3" borderId="0" xfId="1" applyFont="1" applyFill="1"/>
    <xf numFmtId="2" fontId="4" fillId="5" borderId="1" xfId="1" applyNumberFormat="1" applyFont="1" applyFill="1" applyBorder="1" applyAlignment="1">
      <alignment horizontal="center"/>
    </xf>
    <xf numFmtId="168" fontId="4" fillId="6" borderId="2" xfId="1" applyNumberFormat="1" applyFont="1" applyFill="1" applyBorder="1" applyAlignment="1">
      <alignment horizontal="center"/>
    </xf>
    <xf numFmtId="168" fontId="4" fillId="6" borderId="1" xfId="1" applyNumberFormat="1" applyFont="1" applyFill="1" applyBorder="1" applyAlignment="1">
      <alignment horizontal="center"/>
    </xf>
    <xf numFmtId="167" fontId="4" fillId="6" borderId="1" xfId="1" applyNumberFormat="1" applyFont="1" applyFill="1" applyBorder="1" applyAlignment="1">
      <alignment horizontal="center"/>
    </xf>
    <xf numFmtId="2" fontId="4" fillId="6" borderId="2" xfId="1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8" fillId="0" borderId="1" xfId="0" applyFont="1" applyFill="1" applyBorder="1" applyAlignment="1">
      <alignment horizontal="right"/>
    </xf>
    <xf numFmtId="0" fontId="8" fillId="4" borderId="1" xfId="1" applyFont="1" applyFill="1" applyBorder="1" applyAlignment="1">
      <alignment horizontal="center"/>
    </xf>
    <xf numFmtId="0" fontId="8" fillId="4" borderId="1" xfId="1" applyFont="1" applyFill="1" applyBorder="1"/>
    <xf numFmtId="0" fontId="10" fillId="9" borderId="0" xfId="2" applyFont="1" applyFill="1" applyAlignment="1">
      <alignment horizontal="center"/>
    </xf>
  </cellXfs>
  <cellStyles count="3">
    <cellStyle name="Accent2" xfId="2" builtinId="3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Y401"/>
  <sheetViews>
    <sheetView tabSelected="1" zoomScaleNormal="100" workbookViewId="0"/>
  </sheetViews>
  <sheetFormatPr defaultColWidth="8.81640625" defaultRowHeight="13.15" customHeight="1" x14ac:dyDescent="0.25"/>
  <cols>
    <col min="1" max="1" width="3.26953125" style="4" customWidth="1"/>
    <col min="2" max="2" width="5.453125" style="4" customWidth="1"/>
    <col min="3" max="17" width="9.54296875" style="4" customWidth="1"/>
    <col min="18" max="18" width="10.26953125" style="4" customWidth="1"/>
    <col min="19" max="16384" width="8.81640625" style="4"/>
  </cols>
  <sheetData>
    <row r="1" spans="1:25" ht="13.15" customHeight="1" x14ac:dyDescent="0.35">
      <c r="A1" s="1" t="s">
        <v>15</v>
      </c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</row>
    <row r="2" spans="1:25" ht="13.15" customHeight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6"/>
      <c r="N2" s="6"/>
      <c r="O2" s="6"/>
      <c r="P2" s="6"/>
      <c r="Q2" s="6"/>
      <c r="R2" s="6"/>
    </row>
    <row r="3" spans="1:25" ht="13.15" customHeight="1" x14ac:dyDescent="0.3">
      <c r="A3" s="5"/>
      <c r="B3" s="5"/>
      <c r="C3" s="8"/>
      <c r="D3" s="8"/>
      <c r="E3" s="47" t="s">
        <v>18</v>
      </c>
      <c r="F3" s="47" t="s">
        <v>18</v>
      </c>
      <c r="G3" s="8"/>
      <c r="H3" s="8"/>
      <c r="I3" s="8"/>
      <c r="J3" s="8"/>
      <c r="K3" s="8"/>
      <c r="L3" s="8"/>
      <c r="M3" s="7"/>
      <c r="N3" s="7"/>
      <c r="O3" s="7"/>
      <c r="P3" s="7"/>
      <c r="Q3" s="7"/>
      <c r="R3" s="6"/>
    </row>
    <row r="4" spans="1:25" ht="13.15" customHeight="1" x14ac:dyDescent="0.3">
      <c r="A4" s="7"/>
      <c r="B4" s="8"/>
      <c r="C4" s="8"/>
      <c r="D4" s="8"/>
      <c r="E4" s="16" t="s">
        <v>16</v>
      </c>
      <c r="F4" s="16" t="s">
        <v>13</v>
      </c>
      <c r="G4" s="16" t="s">
        <v>12</v>
      </c>
      <c r="H4" s="16" t="s">
        <v>14</v>
      </c>
      <c r="I4" s="8"/>
      <c r="J4" s="8"/>
      <c r="K4" s="8"/>
      <c r="L4" s="8"/>
      <c r="M4" s="8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 ht="13.15" customHeight="1" x14ac:dyDescent="0.35">
      <c r="A5" s="7"/>
      <c r="B5" s="9"/>
      <c r="C5" s="45" t="s">
        <v>0</v>
      </c>
      <c r="D5" s="45" t="s">
        <v>1</v>
      </c>
      <c r="E5" s="25" t="s">
        <v>11</v>
      </c>
      <c r="F5" s="25" t="s">
        <v>11</v>
      </c>
      <c r="G5" s="25" t="s">
        <v>11</v>
      </c>
      <c r="H5" s="25" t="s">
        <v>11</v>
      </c>
      <c r="I5" s="8"/>
      <c r="J5" s="8"/>
      <c r="K5" s="8"/>
      <c r="L5" s="8"/>
      <c r="M5" s="8"/>
      <c r="N5" s="8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 ht="13.15" customHeight="1" x14ac:dyDescent="0.3">
      <c r="A6" s="7"/>
      <c r="B6" s="45" t="s">
        <v>0</v>
      </c>
      <c r="C6" s="10">
        <v>1</v>
      </c>
      <c r="D6" s="11">
        <v>3</v>
      </c>
      <c r="E6" s="13">
        <f t="array" ref="E6:E9">AHPmat_Algebra(C6:D7)</f>
        <v>0.74999999999454303</v>
      </c>
      <c r="F6" s="37">
        <f t="array" ref="F6:F9">ahpmat_power(C6:D7)</f>
        <v>0.75</v>
      </c>
      <c r="G6" s="41">
        <f t="array" ref="G6:G9">ahpmat_rgm(C6:D7)</f>
        <v>0.75000000000000011</v>
      </c>
      <c r="H6" s="33">
        <f t="array" ref="H6:H9">AHPmat_ColNorm(C6:D7)</f>
        <v>0.75</v>
      </c>
      <c r="I6" s="7"/>
      <c r="J6" s="8"/>
      <c r="K6" s="8"/>
      <c r="L6" s="8"/>
      <c r="M6" s="8"/>
      <c r="N6" s="8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 ht="13.15" customHeight="1" x14ac:dyDescent="0.3">
      <c r="A7" s="7"/>
      <c r="B7" s="45" t="s">
        <v>1</v>
      </c>
      <c r="C7" s="12">
        <f>1/D6</f>
        <v>0.33333333333333331</v>
      </c>
      <c r="D7" s="10">
        <v>1</v>
      </c>
      <c r="E7" s="13">
        <v>0.25000000000545697</v>
      </c>
      <c r="F7" s="37">
        <v>0.25</v>
      </c>
      <c r="G7" s="41">
        <v>0.25</v>
      </c>
      <c r="H7" s="33">
        <v>0.25</v>
      </c>
      <c r="I7" s="8"/>
      <c r="J7" s="8"/>
      <c r="K7" s="8"/>
      <c r="L7" s="8"/>
      <c r="M7" s="8"/>
      <c r="N7" s="8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 ht="13.15" customHeight="1" x14ac:dyDescent="0.3">
      <c r="A8" s="7"/>
      <c r="B8" s="8"/>
      <c r="C8" s="8"/>
      <c r="D8" s="42" t="s">
        <v>17</v>
      </c>
      <c r="E8" s="29">
        <v>2.0000000000291038</v>
      </c>
      <c r="F8" s="29">
        <v>2</v>
      </c>
      <c r="G8" s="29">
        <v>2</v>
      </c>
      <c r="H8" s="29">
        <v>2</v>
      </c>
      <c r="I8" s="8"/>
      <c r="J8" s="7"/>
      <c r="K8" s="7"/>
      <c r="L8" s="8"/>
      <c r="M8" s="8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 ht="13.15" customHeight="1" x14ac:dyDescent="0.3">
      <c r="A9" s="7"/>
      <c r="B9" s="6"/>
      <c r="C9" s="7"/>
      <c r="D9" s="44" t="s">
        <v>4</v>
      </c>
      <c r="E9" s="35">
        <v>0</v>
      </c>
      <c r="F9" s="29">
        <v>0</v>
      </c>
      <c r="G9" s="32">
        <v>0</v>
      </c>
      <c r="H9" s="32">
        <v>0</v>
      </c>
      <c r="I9" s="7"/>
      <c r="J9" s="7"/>
      <c r="K9" s="8"/>
      <c r="L9" s="8"/>
      <c r="M9" s="8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 ht="13.15" customHeight="1" x14ac:dyDescent="0.3">
      <c r="A10" s="7"/>
      <c r="B10" s="8"/>
      <c r="C10" s="8"/>
      <c r="D10" s="7"/>
      <c r="E10" s="36" t="s">
        <v>2</v>
      </c>
      <c r="F10" s="36"/>
      <c r="G10" s="36"/>
      <c r="H10" s="36"/>
      <c r="I10" s="8"/>
      <c r="J10" s="8"/>
      <c r="K10" s="8"/>
      <c r="L10" s="8"/>
      <c r="M10" s="8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 ht="13.15" customHeight="1" x14ac:dyDescent="0.3">
      <c r="A11" s="7"/>
      <c r="B11" s="14"/>
      <c r="C11" s="15"/>
      <c r="D11" s="43"/>
      <c r="E11" s="8"/>
      <c r="F11" s="8"/>
      <c r="G11" s="8"/>
      <c r="H11" s="7"/>
      <c r="I11" s="8"/>
      <c r="J11" s="8"/>
      <c r="K11" s="8"/>
      <c r="L11" s="8"/>
      <c r="M11" s="8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 ht="13.15" customHeight="1" x14ac:dyDescent="0.3">
      <c r="A12" s="7"/>
      <c r="B12" s="14"/>
      <c r="C12" s="15"/>
      <c r="D12" s="43"/>
      <c r="E12" s="8"/>
      <c r="F12" s="47" t="s">
        <v>18</v>
      </c>
      <c r="G12" s="47" t="s">
        <v>18</v>
      </c>
      <c r="H12" s="7"/>
      <c r="I12" s="8"/>
      <c r="J12" s="8"/>
      <c r="K12" s="8"/>
      <c r="L12" s="8"/>
      <c r="M12" s="8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 ht="13.15" customHeight="1" x14ac:dyDescent="0.3">
      <c r="A13" s="7"/>
      <c r="B13" s="8"/>
      <c r="C13" s="8"/>
      <c r="D13" s="8"/>
      <c r="E13" s="8"/>
      <c r="F13" s="16" t="s">
        <v>16</v>
      </c>
      <c r="G13" s="16" t="s">
        <v>13</v>
      </c>
      <c r="H13" s="16" t="s">
        <v>12</v>
      </c>
      <c r="I13" s="16" t="s">
        <v>14</v>
      </c>
      <c r="J13" s="8"/>
      <c r="K13" s="8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 ht="13.15" customHeight="1" x14ac:dyDescent="0.35">
      <c r="A14" s="7"/>
      <c r="B14" s="46"/>
      <c r="C14" s="45" t="s">
        <v>0</v>
      </c>
      <c r="D14" s="45" t="s">
        <v>1</v>
      </c>
      <c r="E14" s="45" t="s">
        <v>3</v>
      </c>
      <c r="F14" s="25" t="s">
        <v>11</v>
      </c>
      <c r="G14" s="25" t="s">
        <v>11</v>
      </c>
      <c r="H14" s="25" t="s">
        <v>11</v>
      </c>
      <c r="I14" s="25" t="s">
        <v>11</v>
      </c>
      <c r="J14" s="8"/>
      <c r="K14" s="8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5" ht="13.15" customHeight="1" x14ac:dyDescent="0.3">
      <c r="A15" s="7"/>
      <c r="B15" s="45" t="s">
        <v>0</v>
      </c>
      <c r="C15" s="10">
        <v>1</v>
      </c>
      <c r="D15" s="11">
        <v>3</v>
      </c>
      <c r="E15" s="11">
        <v>5</v>
      </c>
      <c r="F15" s="27">
        <f t="array" ref="F15:F19">AHPmat_Algebra(C15:E17)</f>
        <v>0.63698557174435422</v>
      </c>
      <c r="G15" s="30">
        <f t="array" ref="G15:G19">ahpmat_power(C15:E17)</f>
        <v>0.63698557174475712</v>
      </c>
      <c r="H15" s="38">
        <f t="array" ref="H15:H19">ahpmat_rgm(C15:E17)</f>
        <v>0.63698557174475712</v>
      </c>
      <c r="I15" s="28">
        <f t="array" ref="I15:I19">AHPmat_ColNorm(C15:E17)</f>
        <v>0.63334572030224201</v>
      </c>
      <c r="J15" s="8"/>
      <c r="K15" s="8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5" ht="13.15" customHeight="1" x14ac:dyDescent="0.3">
      <c r="A16" s="7"/>
      <c r="B16" s="45" t="s">
        <v>1</v>
      </c>
      <c r="C16" s="12">
        <f>1/D15</f>
        <v>0.33333333333333331</v>
      </c>
      <c r="D16" s="10">
        <v>1</v>
      </c>
      <c r="E16" s="16">
        <v>3</v>
      </c>
      <c r="F16" s="27">
        <v>0.25828499437447716</v>
      </c>
      <c r="G16" s="30">
        <v>0.25828499437449504</v>
      </c>
      <c r="H16" s="39">
        <v>0.25828499437449504</v>
      </c>
      <c r="I16" s="28">
        <v>0.26049795615013011</v>
      </c>
      <c r="J16" s="8"/>
      <c r="K16" s="8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5" ht="13.15" customHeight="1" x14ac:dyDescent="0.3">
      <c r="A17" s="7"/>
      <c r="B17" s="45" t="s">
        <v>3</v>
      </c>
      <c r="C17" s="12">
        <f>1/E15</f>
        <v>0.2</v>
      </c>
      <c r="D17" s="12">
        <f>1/E16</f>
        <v>0.33333333333333331</v>
      </c>
      <c r="E17" s="10">
        <v>1</v>
      </c>
      <c r="F17" s="27">
        <v>0.10472943388116869</v>
      </c>
      <c r="G17" s="30">
        <v>0.10472943388074786</v>
      </c>
      <c r="H17" s="39">
        <v>0.10472943388074787</v>
      </c>
      <c r="I17" s="28">
        <v>0.1061563235476279</v>
      </c>
      <c r="J17" s="7"/>
      <c r="K17" s="8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5" ht="13.15" customHeight="1" x14ac:dyDescent="0.3">
      <c r="A18" s="7"/>
      <c r="B18" s="6"/>
      <c r="C18" s="7"/>
      <c r="D18" s="7"/>
      <c r="E18" s="42" t="s">
        <v>17</v>
      </c>
      <c r="F18" s="34">
        <v>3.0385110905626789</v>
      </c>
      <c r="G18" s="31">
        <v>3.0385110905581705</v>
      </c>
      <c r="H18" s="31">
        <v>3.0385110905581705</v>
      </c>
      <c r="I18" s="31">
        <v>3.0387146809594667</v>
      </c>
      <c r="J18" s="7"/>
      <c r="K18" s="8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5" ht="13.15" customHeight="1" x14ac:dyDescent="0.3">
      <c r="A19" s="7"/>
      <c r="B19" s="6"/>
      <c r="C19" s="7"/>
      <c r="D19" s="7"/>
      <c r="E19" s="44" t="s">
        <v>4</v>
      </c>
      <c r="F19" s="34">
        <v>3.3199216002309379E-2</v>
      </c>
      <c r="G19" s="31">
        <v>3.3199215998422828E-2</v>
      </c>
      <c r="H19" s="31">
        <v>3.3199215998422828E-2</v>
      </c>
      <c r="I19" s="31">
        <v>3.3374724965057528E-2</v>
      </c>
      <c r="J19" s="7"/>
      <c r="K19" s="8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5" ht="13.15" customHeight="1" x14ac:dyDescent="0.3">
      <c r="A20" s="7"/>
      <c r="B20" s="8"/>
      <c r="C20" s="8"/>
      <c r="D20" s="8"/>
      <c r="E20" s="17"/>
      <c r="F20" s="18"/>
      <c r="G20" s="8"/>
      <c r="H20" s="8"/>
      <c r="I20" s="8"/>
      <c r="J20" s="8"/>
      <c r="K20" s="8"/>
      <c r="L20" s="8"/>
      <c r="M20" s="8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 ht="13.15" customHeight="1" x14ac:dyDescent="0.3">
      <c r="A21" s="7"/>
      <c r="B21" s="8"/>
      <c r="C21" s="8"/>
      <c r="D21" s="8"/>
      <c r="E21" s="17"/>
      <c r="F21" s="18"/>
      <c r="G21" s="8"/>
      <c r="H21" s="8"/>
      <c r="I21" s="8"/>
      <c r="J21" s="8"/>
      <c r="K21" s="8"/>
      <c r="L21" s="8"/>
      <c r="M21" s="8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 ht="13.15" customHeight="1" x14ac:dyDescent="0.3">
      <c r="A22" s="7"/>
      <c r="B22" s="8"/>
      <c r="C22" s="8"/>
      <c r="D22" s="8"/>
      <c r="E22" s="17"/>
      <c r="F22" s="18"/>
      <c r="G22" s="47" t="s">
        <v>18</v>
      </c>
      <c r="H22" s="47" t="s">
        <v>18</v>
      </c>
      <c r="I22" s="8"/>
      <c r="J22" s="8"/>
      <c r="K22" s="8"/>
      <c r="L22" s="8"/>
      <c r="M22" s="8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 ht="13.15" customHeight="1" x14ac:dyDescent="0.3">
      <c r="A23" s="7"/>
      <c r="B23" s="19"/>
      <c r="C23" s="19"/>
      <c r="D23" s="19"/>
      <c r="E23" s="19"/>
      <c r="F23" s="19"/>
      <c r="G23" s="16" t="s">
        <v>16</v>
      </c>
      <c r="H23" s="16" t="s">
        <v>13</v>
      </c>
      <c r="I23" s="16" t="s">
        <v>12</v>
      </c>
      <c r="J23" s="16" t="s">
        <v>14</v>
      </c>
      <c r="K23" s="7"/>
      <c r="L23" s="8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 ht="13.15" customHeight="1" x14ac:dyDescent="0.35">
      <c r="A24" s="7"/>
      <c r="B24" s="46"/>
      <c r="C24" s="45" t="s">
        <v>0</v>
      </c>
      <c r="D24" s="45" t="s">
        <v>1</v>
      </c>
      <c r="E24" s="45" t="s">
        <v>3</v>
      </c>
      <c r="F24" s="45" t="s">
        <v>5</v>
      </c>
      <c r="G24" s="25" t="s">
        <v>11</v>
      </c>
      <c r="H24" s="25" t="s">
        <v>11</v>
      </c>
      <c r="I24" s="25" t="s">
        <v>11</v>
      </c>
      <c r="J24" s="25" t="s">
        <v>11</v>
      </c>
      <c r="K24" s="8"/>
      <c r="L24" s="8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5" ht="13.15" customHeight="1" x14ac:dyDescent="0.3">
      <c r="A25" s="7"/>
      <c r="B25" s="45" t="s">
        <v>0</v>
      </c>
      <c r="C25" s="10">
        <v>1</v>
      </c>
      <c r="D25" s="16">
        <v>3</v>
      </c>
      <c r="E25" s="16">
        <v>5</v>
      </c>
      <c r="F25" s="16">
        <v>7</v>
      </c>
      <c r="G25" s="27">
        <f t="array" ref="G25:G30">AHPmat_Algebra(C25:F28)</f>
        <v>0.56500905379904265</v>
      </c>
      <c r="H25" s="30">
        <f t="array" ref="H25:H30">ahpmat_power(C25:F28)</f>
        <v>0.56500905379481314</v>
      </c>
      <c r="I25" s="39">
        <f t="array" ref="I25:I30">ahpmat_rgm(C25:F28)</f>
        <v>0.56381276908071754</v>
      </c>
      <c r="J25" s="28">
        <f t="array" ref="J25:J30">AHPmat_ColNorm(C25:F28)</f>
        <v>0.55789247517188689</v>
      </c>
      <c r="K25" s="8"/>
      <c r="L25" s="8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5" ht="13.15" customHeight="1" x14ac:dyDescent="0.3">
      <c r="A26" s="7"/>
      <c r="B26" s="45" t="s">
        <v>1</v>
      </c>
      <c r="C26" s="12">
        <f>1/D25</f>
        <v>0.33333333333333331</v>
      </c>
      <c r="D26" s="10">
        <v>1</v>
      </c>
      <c r="E26" s="16">
        <v>3</v>
      </c>
      <c r="F26" s="16">
        <v>5</v>
      </c>
      <c r="G26" s="27">
        <v>0.26220120556087334</v>
      </c>
      <c r="H26" s="30">
        <v>0.26220120556170884</v>
      </c>
      <c r="I26" s="39">
        <v>0.26337835676570304</v>
      </c>
      <c r="J26" s="28">
        <v>0.26334511077158135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5" ht="13.15" customHeight="1" x14ac:dyDescent="0.3">
      <c r="A27" s="7"/>
      <c r="B27" s="45" t="s">
        <v>3</v>
      </c>
      <c r="C27" s="12">
        <f>1/E25</f>
        <v>0.2</v>
      </c>
      <c r="D27" s="12">
        <f>1/E26</f>
        <v>0.33333333333333331</v>
      </c>
      <c r="E27" s="10">
        <v>1</v>
      </c>
      <c r="F27" s="16">
        <v>3</v>
      </c>
      <c r="G27" s="27">
        <v>0.11750425004139914</v>
      </c>
      <c r="H27" s="30">
        <v>0.11750425004394975</v>
      </c>
      <c r="I27" s="39">
        <v>0.11778638190606072</v>
      </c>
      <c r="J27" s="28">
        <v>0.12187261268143622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5" ht="13.15" customHeight="1" x14ac:dyDescent="0.3">
      <c r="A28" s="7"/>
      <c r="B28" s="45" t="s">
        <v>5</v>
      </c>
      <c r="C28" s="12">
        <f>1/F25</f>
        <v>0.14285714285714285</v>
      </c>
      <c r="D28" s="12">
        <f>1/F26</f>
        <v>0.2</v>
      </c>
      <c r="E28" s="12">
        <f>1/F27</f>
        <v>0.33333333333333331</v>
      </c>
      <c r="F28" s="10">
        <v>1</v>
      </c>
      <c r="G28" s="27">
        <v>5.5285490598684907E-2</v>
      </c>
      <c r="H28" s="30">
        <v>5.5285490599528406E-2</v>
      </c>
      <c r="I28" s="39">
        <v>5.5022492247518671E-2</v>
      </c>
      <c r="J28" s="28">
        <v>5.68898013750955E-2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5" ht="13.15" customHeight="1" x14ac:dyDescent="0.3">
      <c r="A29" s="7"/>
      <c r="B29" s="7"/>
      <c r="C29" s="7"/>
      <c r="D29" s="7"/>
      <c r="E29" s="7"/>
      <c r="F29" s="42" t="s">
        <v>17</v>
      </c>
      <c r="G29" s="31">
        <v>4.1169824434473412</v>
      </c>
      <c r="H29" s="31">
        <v>4.116982443447192</v>
      </c>
      <c r="I29" s="31">
        <v>4.1169338476903885</v>
      </c>
      <c r="J29" s="31">
        <v>4.1184656651573661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 ht="13.15" customHeight="1" x14ac:dyDescent="0.3">
      <c r="A30" s="7"/>
      <c r="B30" s="7"/>
      <c r="C30" s="7"/>
      <c r="D30" s="7"/>
      <c r="E30" s="7"/>
      <c r="F30" s="44" t="s">
        <v>4</v>
      </c>
      <c r="G30" s="31">
        <v>4.332683090642267E-2</v>
      </c>
      <c r="H30" s="31">
        <v>4.3326830906367401E-2</v>
      </c>
      <c r="I30" s="31">
        <v>4.3308832477921673E-2</v>
      </c>
      <c r="J30" s="31">
        <v>4.3876172280505971E-2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 ht="13.15" customHeight="1" x14ac:dyDescent="0.3">
      <c r="A31" s="7"/>
      <c r="B31" s="14"/>
      <c r="C31" s="14"/>
      <c r="D31" s="8"/>
      <c r="E31" s="8"/>
      <c r="F31" s="43"/>
      <c r="G31" s="8"/>
      <c r="H31" s="8"/>
      <c r="I31" s="8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 ht="13.15" customHeight="1" x14ac:dyDescent="0.3">
      <c r="A32" s="7"/>
      <c r="B32" s="14"/>
      <c r="C32" s="14"/>
      <c r="D32" s="8"/>
      <c r="E32" s="8"/>
      <c r="F32" s="43"/>
      <c r="G32" s="8"/>
      <c r="H32" s="8"/>
      <c r="I32" s="8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ht="13.15" customHeight="1" x14ac:dyDescent="0.3">
      <c r="A33" s="7"/>
      <c r="B33" s="14"/>
      <c r="C33" s="14"/>
      <c r="D33" s="14"/>
      <c r="E33" s="8"/>
      <c r="F33" s="8"/>
      <c r="G33" s="8"/>
      <c r="H33" s="47" t="s">
        <v>18</v>
      </c>
      <c r="I33" s="47" t="s">
        <v>18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ht="13.15" customHeight="1" x14ac:dyDescent="0.3">
      <c r="A34" s="7"/>
      <c r="B34" s="7"/>
      <c r="C34" s="7"/>
      <c r="D34" s="7"/>
      <c r="E34" s="7"/>
      <c r="F34" s="7"/>
      <c r="G34" s="7"/>
      <c r="H34" s="16" t="s">
        <v>16</v>
      </c>
      <c r="I34" s="16" t="s">
        <v>13</v>
      </c>
      <c r="J34" s="16" t="s">
        <v>12</v>
      </c>
      <c r="K34" s="16" t="s">
        <v>14</v>
      </c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ht="13.15" customHeight="1" x14ac:dyDescent="0.35">
      <c r="A35" s="7"/>
      <c r="B35" s="46"/>
      <c r="C35" s="45" t="s">
        <v>0</v>
      </c>
      <c r="D35" s="45" t="s">
        <v>1</v>
      </c>
      <c r="E35" s="45" t="s">
        <v>3</v>
      </c>
      <c r="F35" s="45" t="s">
        <v>5</v>
      </c>
      <c r="G35" s="45" t="s">
        <v>6</v>
      </c>
      <c r="H35" s="25" t="s">
        <v>11</v>
      </c>
      <c r="I35" s="25" t="s">
        <v>11</v>
      </c>
      <c r="J35" s="25" t="s">
        <v>11</v>
      </c>
      <c r="K35" s="25" t="s">
        <v>11</v>
      </c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ht="13.15" customHeight="1" x14ac:dyDescent="0.3">
      <c r="A36" s="7"/>
      <c r="B36" s="45" t="s">
        <v>0</v>
      </c>
      <c r="C36" s="10">
        <v>1</v>
      </c>
      <c r="D36" s="16">
        <v>3</v>
      </c>
      <c r="E36" s="16">
        <v>5</v>
      </c>
      <c r="F36" s="21">
        <v>7</v>
      </c>
      <c r="G36" s="21">
        <v>9</v>
      </c>
      <c r="H36" s="27">
        <f t="array" ref="H36:H42">AHPmat_Algebra(C36:G40)</f>
        <v>0.51281281278141166</v>
      </c>
      <c r="I36" s="30">
        <f t="array" ref="I36:I42">ahpmat_power(C36:G40)</f>
        <v>0.51281281275955781</v>
      </c>
      <c r="J36" s="39">
        <f t="array" ref="J36:J42">ahpmat_rgm(C36:G40)</f>
        <v>0.51003872501686387</v>
      </c>
      <c r="K36" s="28">
        <f t="array" ref="K36:K42">AHPmat_ColNorm(C36:G40)</f>
        <v>0.50281949577049656</v>
      </c>
      <c r="L36" s="8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ht="13.15" customHeight="1" x14ac:dyDescent="0.3">
      <c r="A37" s="7"/>
      <c r="B37" s="45" t="s">
        <v>1</v>
      </c>
      <c r="C37" s="12">
        <f>1/D36</f>
        <v>0.33333333333333331</v>
      </c>
      <c r="D37" s="10">
        <v>1</v>
      </c>
      <c r="E37" s="16">
        <v>3</v>
      </c>
      <c r="F37" s="21">
        <v>5</v>
      </c>
      <c r="G37" s="21">
        <v>7</v>
      </c>
      <c r="H37" s="27">
        <v>0.26149905572177617</v>
      </c>
      <c r="I37" s="30">
        <v>0.26149905573274984</v>
      </c>
      <c r="J37" s="39">
        <v>0.26383377931428448</v>
      </c>
      <c r="K37" s="28">
        <v>0.26023158778668332</v>
      </c>
      <c r="L37" s="8"/>
      <c r="M37" s="8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ht="13.15" customHeight="1" x14ac:dyDescent="0.3">
      <c r="A38" s="7"/>
      <c r="B38" s="45" t="s">
        <v>3</v>
      </c>
      <c r="C38" s="12">
        <f>1/E36</f>
        <v>0.2</v>
      </c>
      <c r="D38" s="12">
        <f>1/E37</f>
        <v>0.33333333333333331</v>
      </c>
      <c r="E38" s="10">
        <v>1</v>
      </c>
      <c r="F38" s="21">
        <v>3</v>
      </c>
      <c r="G38" s="21">
        <v>5</v>
      </c>
      <c r="H38" s="27">
        <v>0.12897642312026894</v>
      </c>
      <c r="I38" s="30">
        <v>0.12897642313088309</v>
      </c>
      <c r="J38" s="39">
        <v>0.12957367894643815</v>
      </c>
      <c r="K38" s="28">
        <v>0.13435044057311091</v>
      </c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ht="13.15" customHeight="1" x14ac:dyDescent="0.3">
      <c r="A39" s="7"/>
      <c r="B39" s="45" t="s">
        <v>5</v>
      </c>
      <c r="C39" s="12">
        <f>1/F36</f>
        <v>0.14285714285714285</v>
      </c>
      <c r="D39" s="12">
        <f>1/F37</f>
        <v>0.2</v>
      </c>
      <c r="E39" s="12">
        <f>1/F38</f>
        <v>0.33333333333333331</v>
      </c>
      <c r="F39" s="10">
        <v>1</v>
      </c>
      <c r="G39" s="21">
        <v>3</v>
      </c>
      <c r="H39" s="27">
        <v>6.3376527674385605E-2</v>
      </c>
      <c r="I39" s="30">
        <v>6.3376527676604691E-2</v>
      </c>
      <c r="J39" s="39">
        <v>6.3636045086231371E-2</v>
      </c>
      <c r="K39" s="28">
        <v>6.777766684747813E-2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ht="13.15" customHeight="1" x14ac:dyDescent="0.3">
      <c r="A40" s="7"/>
      <c r="B40" s="45" t="s">
        <v>6</v>
      </c>
      <c r="C40" s="12">
        <f>1/G36</f>
        <v>0.1111111111111111</v>
      </c>
      <c r="D40" s="12">
        <f>1/G37</f>
        <v>0.14285714285714285</v>
      </c>
      <c r="E40" s="12">
        <f>1/G38</f>
        <v>0.2</v>
      </c>
      <c r="F40" s="12">
        <f>1/G39</f>
        <v>0.33333333333333331</v>
      </c>
      <c r="G40" s="10">
        <v>1</v>
      </c>
      <c r="H40" s="27">
        <v>3.3335180702157657E-2</v>
      </c>
      <c r="I40" s="30">
        <v>3.3335180700204643E-2</v>
      </c>
      <c r="J40" s="39">
        <v>3.291777163618214E-2</v>
      </c>
      <c r="K40" s="28">
        <v>3.4820809022231121E-2</v>
      </c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 ht="13.15" customHeight="1" x14ac:dyDescent="0.3">
      <c r="A41" s="7"/>
      <c r="B41" s="14"/>
      <c r="C41" s="14"/>
      <c r="D41" s="7"/>
      <c r="E41" s="7"/>
      <c r="F41" s="7"/>
      <c r="G41" s="42" t="s">
        <v>17</v>
      </c>
      <c r="H41" s="34">
        <v>5.2374752514872398</v>
      </c>
      <c r="I41" s="31">
        <v>5.237475251483481</v>
      </c>
      <c r="J41" s="31">
        <v>5.2371941182173662</v>
      </c>
      <c r="K41" s="31">
        <v>5.2426069175311598</v>
      </c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 ht="13.15" customHeight="1" x14ac:dyDescent="0.3">
      <c r="A42" s="7"/>
      <c r="B42" s="14"/>
      <c r="C42" s="14"/>
      <c r="D42" s="7"/>
      <c r="E42" s="7"/>
      <c r="F42" s="7"/>
      <c r="G42" s="44" t="s">
        <v>4</v>
      </c>
      <c r="H42" s="34">
        <v>5.3007868635544596E-2</v>
      </c>
      <c r="I42" s="31">
        <v>5.3007868634705579E-2</v>
      </c>
      <c r="J42" s="31">
        <v>5.2945115673519248E-2</v>
      </c>
      <c r="K42" s="31">
        <v>5.4153329806062453E-2</v>
      </c>
      <c r="L42" s="20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 ht="13.15" customHeight="1" x14ac:dyDescent="0.3">
      <c r="A43" s="7"/>
      <c r="B43" s="14"/>
      <c r="C43" s="14"/>
      <c r="D43" s="14"/>
      <c r="E43" s="15"/>
      <c r="F43" s="7"/>
      <c r="G43" s="43"/>
      <c r="H43" s="24"/>
      <c r="I43" s="8"/>
      <c r="J43" s="7"/>
      <c r="K43" s="24"/>
      <c r="L43" s="20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 ht="13.15" customHeight="1" x14ac:dyDescent="0.3">
      <c r="A44" s="7"/>
      <c r="B44" s="14"/>
      <c r="C44" s="14"/>
      <c r="D44" s="14"/>
      <c r="E44" s="15"/>
      <c r="F44" s="7"/>
      <c r="G44" s="43"/>
      <c r="H44" s="24"/>
      <c r="I44" s="8"/>
      <c r="J44" s="7"/>
      <c r="K44" s="24"/>
      <c r="L44" s="20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 ht="13.15" customHeight="1" x14ac:dyDescent="0.3">
      <c r="A45" s="7"/>
      <c r="B45" s="14"/>
      <c r="C45" s="14"/>
      <c r="D45" s="14"/>
      <c r="E45" s="15"/>
      <c r="F45" s="17"/>
      <c r="G45" s="18"/>
      <c r="H45" s="7"/>
      <c r="I45" s="47" t="s">
        <v>18</v>
      </c>
      <c r="J45" s="47" t="s">
        <v>18</v>
      </c>
      <c r="K45" s="20"/>
      <c r="L45" s="20"/>
      <c r="M45" s="20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 ht="13.15" customHeight="1" x14ac:dyDescent="0.3">
      <c r="A46" s="7"/>
      <c r="B46" s="7"/>
      <c r="C46" s="7"/>
      <c r="D46" s="7"/>
      <c r="E46" s="7"/>
      <c r="F46" s="7"/>
      <c r="G46" s="7"/>
      <c r="H46" s="7"/>
      <c r="I46" s="16" t="s">
        <v>16</v>
      </c>
      <c r="J46" s="16" t="s">
        <v>13</v>
      </c>
      <c r="K46" s="16" t="s">
        <v>12</v>
      </c>
      <c r="L46" s="16" t="s">
        <v>14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 ht="13.15" customHeight="1" x14ac:dyDescent="0.35">
      <c r="A47" s="7"/>
      <c r="B47" s="46"/>
      <c r="C47" s="45" t="s">
        <v>0</v>
      </c>
      <c r="D47" s="45" t="s">
        <v>1</v>
      </c>
      <c r="E47" s="45" t="s">
        <v>3</v>
      </c>
      <c r="F47" s="45" t="s">
        <v>5</v>
      </c>
      <c r="G47" s="45" t="s">
        <v>6</v>
      </c>
      <c r="H47" s="45" t="s">
        <v>7</v>
      </c>
      <c r="I47" s="25" t="s">
        <v>11</v>
      </c>
      <c r="J47" s="25" t="s">
        <v>11</v>
      </c>
      <c r="K47" s="25" t="s">
        <v>11</v>
      </c>
      <c r="L47" s="25" t="s">
        <v>11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 ht="13.15" customHeight="1" x14ac:dyDescent="0.3">
      <c r="A48" s="7"/>
      <c r="B48" s="45" t="s">
        <v>0</v>
      </c>
      <c r="C48" s="10">
        <v>1</v>
      </c>
      <c r="D48" s="16">
        <v>3</v>
      </c>
      <c r="E48" s="16">
        <v>5</v>
      </c>
      <c r="F48" s="21">
        <v>6</v>
      </c>
      <c r="G48" s="21">
        <v>7</v>
      </c>
      <c r="H48" s="21">
        <v>9</v>
      </c>
      <c r="I48" s="27">
        <f t="array" ref="I48:I55">AHPmat_Algebra(C48:H53)</f>
        <v>0.45077244103489011</v>
      </c>
      <c r="J48" s="30">
        <f t="array" ref="J48:J55">ahpmat_power(C48:H53)</f>
        <v>0.45077244103673697</v>
      </c>
      <c r="K48" s="39">
        <f t="array" ref="K48:K55">ahpmat_rgm(C48:H53)</f>
        <v>0.44305880021724231</v>
      </c>
      <c r="L48" s="28">
        <f t="array" ref="L48:L55">AHPmat_ColNorm(C48:H53)</f>
        <v>0.4353916200928209</v>
      </c>
      <c r="M48" s="8"/>
      <c r="N48" s="8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 ht="13.15" customHeight="1" x14ac:dyDescent="0.3">
      <c r="A49" s="7"/>
      <c r="B49" s="45" t="s">
        <v>1</v>
      </c>
      <c r="C49" s="12">
        <f>1/D48</f>
        <v>0.33333333333333331</v>
      </c>
      <c r="D49" s="10">
        <v>1</v>
      </c>
      <c r="E49" s="16">
        <v>3</v>
      </c>
      <c r="F49" s="21">
        <v>5</v>
      </c>
      <c r="G49" s="21">
        <v>7</v>
      </c>
      <c r="H49" s="21">
        <v>8</v>
      </c>
      <c r="I49" s="27">
        <v>0.26364448198874185</v>
      </c>
      <c r="J49" s="30">
        <v>0.2636444819808178</v>
      </c>
      <c r="K49" s="39">
        <v>0.26836375657008393</v>
      </c>
      <c r="L49" s="28">
        <v>0.25887111908360755</v>
      </c>
      <c r="M49" s="8"/>
      <c r="N49" s="8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 ht="13.15" customHeight="1" x14ac:dyDescent="0.3">
      <c r="A50" s="7"/>
      <c r="B50" s="45" t="s">
        <v>3</v>
      </c>
      <c r="C50" s="12">
        <f>1/E48</f>
        <v>0.2</v>
      </c>
      <c r="D50" s="12">
        <f>1/E49</f>
        <v>0.33333333333333331</v>
      </c>
      <c r="E50" s="10">
        <v>1</v>
      </c>
      <c r="F50" s="21">
        <v>3</v>
      </c>
      <c r="G50" s="21">
        <v>5</v>
      </c>
      <c r="H50" s="21">
        <v>7</v>
      </c>
      <c r="I50" s="27">
        <v>0.14305005830862938</v>
      </c>
      <c r="J50" s="30">
        <v>0.14305005830669174</v>
      </c>
      <c r="K50" s="39">
        <v>0.14511552052333365</v>
      </c>
      <c r="L50" s="28">
        <v>0.14911157733110247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 ht="13.15" customHeight="1" x14ac:dyDescent="0.3">
      <c r="A51" s="7"/>
      <c r="B51" s="45" t="s">
        <v>5</v>
      </c>
      <c r="C51" s="12">
        <f>1/F48</f>
        <v>0.16666666666666666</v>
      </c>
      <c r="D51" s="12">
        <f>1/F49</f>
        <v>0.2</v>
      </c>
      <c r="E51" s="12">
        <f>1/F50</f>
        <v>0.33333333333333331</v>
      </c>
      <c r="F51" s="10">
        <v>1</v>
      </c>
      <c r="G51" s="21">
        <v>3</v>
      </c>
      <c r="H51" s="21">
        <v>5</v>
      </c>
      <c r="I51" s="27">
        <v>7.6717918738091126E-2</v>
      </c>
      <c r="J51" s="30">
        <v>7.671791874077373E-2</v>
      </c>
      <c r="K51" s="39">
        <v>7.7834531483353078E-2</v>
      </c>
      <c r="L51" s="28">
        <v>8.4310987254487268E-2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 ht="13.15" customHeight="1" x14ac:dyDescent="0.3">
      <c r="A52" s="7"/>
      <c r="B52" s="45" t="s">
        <v>6</v>
      </c>
      <c r="C52" s="22">
        <f>1/G48</f>
        <v>0.14285714285714285</v>
      </c>
      <c r="D52" s="22">
        <f>1/G49</f>
        <v>0.14285714285714285</v>
      </c>
      <c r="E52" s="22">
        <f>1/G50</f>
        <v>0.2</v>
      </c>
      <c r="F52" s="22">
        <f>1/G51</f>
        <v>0.33333333333333331</v>
      </c>
      <c r="G52" s="23">
        <v>1</v>
      </c>
      <c r="H52" s="21">
        <v>3</v>
      </c>
      <c r="I52" s="27">
        <v>4.1650763946217841E-2</v>
      </c>
      <c r="J52" s="30">
        <v>4.1650763949513385E-2</v>
      </c>
      <c r="K52" s="39">
        <v>4.1943999858358706E-2</v>
      </c>
      <c r="L52" s="28">
        <v>4.6460094895469282E-2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 ht="13.15" customHeight="1" x14ac:dyDescent="0.3">
      <c r="A53" s="7"/>
      <c r="B53" s="45" t="s">
        <v>7</v>
      </c>
      <c r="C53" s="12">
        <f>1/H48</f>
        <v>0.1111111111111111</v>
      </c>
      <c r="D53" s="12">
        <f>1/H49</f>
        <v>0.125</v>
      </c>
      <c r="E53" s="12">
        <f>1/H50</f>
        <v>0.14285714285714285</v>
      </c>
      <c r="F53" s="12">
        <f>1/H51</f>
        <v>0.2</v>
      </c>
      <c r="G53" s="12">
        <f>1/H52</f>
        <v>0.33333333333333331</v>
      </c>
      <c r="H53" s="10">
        <v>1</v>
      </c>
      <c r="I53" s="27">
        <v>2.4164335983429746E-2</v>
      </c>
      <c r="J53" s="30">
        <v>2.4164335985466353E-2</v>
      </c>
      <c r="K53" s="39">
        <v>2.3683391347628212E-2</v>
      </c>
      <c r="L53" s="28">
        <v>2.5854601342512547E-2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 ht="13.15" customHeight="1" x14ac:dyDescent="0.3">
      <c r="A54" s="7"/>
      <c r="B54" s="14"/>
      <c r="C54" s="14"/>
      <c r="D54" s="7"/>
      <c r="E54" s="7"/>
      <c r="F54" s="7"/>
      <c r="G54" s="7"/>
      <c r="H54" s="42" t="s">
        <v>17</v>
      </c>
      <c r="I54" s="34">
        <v>6.4917412779915367</v>
      </c>
      <c r="J54" s="31">
        <v>6.4917412779939978</v>
      </c>
      <c r="K54" s="31">
        <v>6.490409173732747</v>
      </c>
      <c r="L54" s="31">
        <v>6.5069766243727374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 ht="13.15" customHeight="1" x14ac:dyDescent="0.3">
      <c r="A55" s="7"/>
      <c r="B55" s="14"/>
      <c r="C55" s="14"/>
      <c r="D55" s="7"/>
      <c r="E55" s="7"/>
      <c r="F55" s="7"/>
      <c r="G55" s="7"/>
      <c r="H55" s="44" t="s">
        <v>4</v>
      </c>
      <c r="I55" s="34">
        <v>7.931310935347366E-2</v>
      </c>
      <c r="J55" s="31">
        <v>7.931310935387062E-2</v>
      </c>
      <c r="K55" s="31">
        <v>7.9098253827862411E-2</v>
      </c>
      <c r="L55" s="31">
        <v>8.1770423285925375E-2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 ht="13.15" customHeight="1" x14ac:dyDescent="0.3">
      <c r="A56" s="7"/>
      <c r="B56" s="14"/>
      <c r="C56" s="14"/>
      <c r="D56" s="7"/>
      <c r="E56" s="7"/>
      <c r="F56" s="7"/>
      <c r="G56" s="7"/>
      <c r="H56" s="43"/>
      <c r="I56" s="24"/>
      <c r="J56" s="8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 ht="13.15" customHeight="1" x14ac:dyDescent="0.3">
      <c r="A57" s="7"/>
      <c r="B57" s="14"/>
      <c r="C57" s="14"/>
      <c r="D57" s="7"/>
      <c r="E57" s="7"/>
      <c r="F57" s="7"/>
      <c r="G57" s="7"/>
      <c r="H57" s="43"/>
      <c r="I57" s="24"/>
      <c r="J57" s="8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 ht="13.15" customHeight="1" x14ac:dyDescent="0.3">
      <c r="A58" s="7"/>
      <c r="B58" s="14"/>
      <c r="C58" s="14"/>
      <c r="D58" s="14"/>
      <c r="E58" s="15"/>
      <c r="F58" s="17"/>
      <c r="G58" s="17"/>
      <c r="H58" s="18"/>
      <c r="I58" s="7"/>
      <c r="J58" s="47" t="s">
        <v>18</v>
      </c>
      <c r="K58" s="47" t="s">
        <v>18</v>
      </c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 ht="13.15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16" t="s">
        <v>16</v>
      </c>
      <c r="K59" s="16" t="s">
        <v>13</v>
      </c>
      <c r="L59" s="16" t="s">
        <v>12</v>
      </c>
      <c r="M59" s="16" t="s">
        <v>14</v>
      </c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 ht="13.15" customHeight="1" x14ac:dyDescent="0.35">
      <c r="A60" s="7"/>
      <c r="B60" s="46"/>
      <c r="C60" s="45" t="s">
        <v>0</v>
      </c>
      <c r="D60" s="45" t="s">
        <v>1</v>
      </c>
      <c r="E60" s="45" t="s">
        <v>3</v>
      </c>
      <c r="F60" s="45" t="s">
        <v>5</v>
      </c>
      <c r="G60" s="45" t="s">
        <v>6</v>
      </c>
      <c r="H60" s="45" t="s">
        <v>7</v>
      </c>
      <c r="I60" s="45" t="s">
        <v>8</v>
      </c>
      <c r="J60" s="25" t="s">
        <v>11</v>
      </c>
      <c r="K60" s="25" t="s">
        <v>11</v>
      </c>
      <c r="L60" s="25" t="s">
        <v>11</v>
      </c>
      <c r="M60" s="25" t="s">
        <v>11</v>
      </c>
      <c r="N60" s="7"/>
      <c r="O60" s="8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 ht="13.15" customHeight="1" x14ac:dyDescent="0.3">
      <c r="A61" s="7"/>
      <c r="B61" s="45" t="s">
        <v>0</v>
      </c>
      <c r="C61" s="10">
        <v>1</v>
      </c>
      <c r="D61" s="16">
        <v>3</v>
      </c>
      <c r="E61" s="16">
        <v>4</v>
      </c>
      <c r="F61" s="21">
        <v>6</v>
      </c>
      <c r="G61" s="21">
        <v>7</v>
      </c>
      <c r="H61" s="21">
        <v>8</v>
      </c>
      <c r="I61" s="21">
        <v>9</v>
      </c>
      <c r="J61" s="27">
        <f t="array" ref="J61:J69">AHPmat_Algebra(C61:I67)</f>
        <v>0.40447853337065648</v>
      </c>
      <c r="K61" s="30">
        <f t="array" ref="K61:K69">ahpmat_power(C61:I67)</f>
        <v>0.40447853335493961</v>
      </c>
      <c r="L61" s="40">
        <f t="array" ref="L61:L69">ahpmat_rgm(C61:I67)</f>
        <v>0.39931696589850357</v>
      </c>
      <c r="M61" s="28">
        <f t="array" ref="M61:M69">AHPmat_ColNorm(C61:I67)</f>
        <v>0.39304733942579667</v>
      </c>
      <c r="N61" s="8"/>
      <c r="O61" s="8"/>
      <c r="P61" s="7"/>
      <c r="Q61" s="7"/>
      <c r="R61" s="6"/>
      <c r="S61" s="7"/>
      <c r="T61" s="7"/>
      <c r="U61" s="7"/>
      <c r="V61" s="7"/>
      <c r="W61" s="7"/>
      <c r="X61" s="7"/>
      <c r="Y61" s="7"/>
    </row>
    <row r="62" spans="1:25" ht="13.15" customHeight="1" x14ac:dyDescent="0.3">
      <c r="A62" s="7"/>
      <c r="B62" s="45" t="s">
        <v>1</v>
      </c>
      <c r="C62" s="12">
        <f>1/D61</f>
        <v>0.33333333333333331</v>
      </c>
      <c r="D62" s="10">
        <v>1</v>
      </c>
      <c r="E62" s="16">
        <v>2</v>
      </c>
      <c r="F62" s="21">
        <v>5</v>
      </c>
      <c r="G62" s="21">
        <v>6</v>
      </c>
      <c r="H62" s="21">
        <v>7</v>
      </c>
      <c r="I62" s="21">
        <v>8</v>
      </c>
      <c r="J62" s="27">
        <v>0.23973183976950452</v>
      </c>
      <c r="K62" s="30">
        <v>0.23973183977221255</v>
      </c>
      <c r="L62" s="40">
        <v>0.24295487526129561</v>
      </c>
      <c r="M62" s="28">
        <v>0.2324257802262952</v>
      </c>
      <c r="N62" s="8"/>
      <c r="O62" s="8"/>
      <c r="P62" s="7"/>
      <c r="Q62" s="7"/>
      <c r="R62" s="6"/>
      <c r="S62" s="7"/>
      <c r="T62" s="7"/>
      <c r="U62" s="7"/>
      <c r="V62" s="7"/>
      <c r="W62" s="7"/>
      <c r="X62" s="7"/>
      <c r="Y62" s="7"/>
    </row>
    <row r="63" spans="1:25" ht="13.15" customHeight="1" x14ac:dyDescent="0.3">
      <c r="A63" s="7"/>
      <c r="B63" s="45" t="s">
        <v>3</v>
      </c>
      <c r="C63" s="12">
        <f>1/E61</f>
        <v>0.25</v>
      </c>
      <c r="D63" s="12">
        <f>1/E62</f>
        <v>0.5</v>
      </c>
      <c r="E63" s="10">
        <v>1</v>
      </c>
      <c r="F63" s="21">
        <v>3</v>
      </c>
      <c r="G63" s="21">
        <v>5</v>
      </c>
      <c r="H63" s="21">
        <v>6</v>
      </c>
      <c r="I63" s="21">
        <v>7</v>
      </c>
      <c r="J63" s="27">
        <v>0.16175601775778797</v>
      </c>
      <c r="K63" s="30">
        <v>0.16175601776369433</v>
      </c>
      <c r="L63" s="40">
        <v>0.16627079798231903</v>
      </c>
      <c r="M63" s="28">
        <v>0.16179685874386962</v>
      </c>
      <c r="N63" s="7"/>
      <c r="O63" s="7"/>
      <c r="P63" s="7"/>
      <c r="Q63" s="7"/>
      <c r="R63" s="6"/>
      <c r="S63" s="7"/>
      <c r="T63" s="7"/>
      <c r="U63" s="7"/>
      <c r="V63" s="7"/>
      <c r="W63" s="7"/>
      <c r="X63" s="7"/>
      <c r="Y63" s="7"/>
    </row>
    <row r="64" spans="1:25" ht="13.15" customHeight="1" x14ac:dyDescent="0.3">
      <c r="A64" s="7"/>
      <c r="B64" s="45" t="s">
        <v>5</v>
      </c>
      <c r="C64" s="12">
        <f>1/F61</f>
        <v>0.16666666666666666</v>
      </c>
      <c r="D64" s="12">
        <f>1/F62</f>
        <v>0.2</v>
      </c>
      <c r="E64" s="12">
        <f>1/F63</f>
        <v>0.33333333333333331</v>
      </c>
      <c r="F64" s="10">
        <v>1</v>
      </c>
      <c r="G64" s="21">
        <v>3</v>
      </c>
      <c r="H64" s="21">
        <v>5</v>
      </c>
      <c r="I64" s="21">
        <v>6</v>
      </c>
      <c r="J64" s="27">
        <v>9.015819980293438E-2</v>
      </c>
      <c r="K64" s="30">
        <v>9.0158199808901218E-2</v>
      </c>
      <c r="L64" s="40">
        <v>8.91093023659036E-2</v>
      </c>
      <c r="M64" s="28">
        <v>9.6464340868740325E-2</v>
      </c>
      <c r="N64" s="7"/>
      <c r="O64" s="7"/>
      <c r="P64" s="7"/>
      <c r="Q64" s="7"/>
      <c r="R64" s="6"/>
      <c r="S64" s="7"/>
      <c r="T64" s="7"/>
      <c r="U64" s="7"/>
      <c r="V64" s="7"/>
      <c r="W64" s="7"/>
      <c r="X64" s="7"/>
      <c r="Y64" s="7"/>
    </row>
    <row r="65" spans="1:25" ht="13.15" customHeight="1" x14ac:dyDescent="0.3">
      <c r="A65" s="7"/>
      <c r="B65" s="45" t="s">
        <v>6</v>
      </c>
      <c r="C65" s="22">
        <f>1/G61</f>
        <v>0.14285714285714285</v>
      </c>
      <c r="D65" s="22">
        <f>1/G62</f>
        <v>0.16666666666666666</v>
      </c>
      <c r="E65" s="22">
        <f>1/G63</f>
        <v>0.2</v>
      </c>
      <c r="F65" s="22">
        <f>1/G64</f>
        <v>0.33333333333333331</v>
      </c>
      <c r="G65" s="23">
        <v>1</v>
      </c>
      <c r="H65" s="21">
        <v>3</v>
      </c>
      <c r="I65" s="21">
        <v>5</v>
      </c>
      <c r="J65" s="27">
        <v>5.2827495958848135E-2</v>
      </c>
      <c r="K65" s="30">
        <v>5.2827495961197547E-2</v>
      </c>
      <c r="L65" s="40">
        <v>5.2243262234125003E-2</v>
      </c>
      <c r="M65" s="28">
        <v>5.9682692509043796E-2</v>
      </c>
      <c r="N65" s="7"/>
      <c r="O65" s="7"/>
      <c r="P65" s="7"/>
      <c r="Q65" s="7"/>
      <c r="R65" s="6"/>
      <c r="S65" s="7"/>
      <c r="T65" s="7"/>
      <c r="U65" s="7"/>
      <c r="V65" s="7"/>
      <c r="W65" s="7"/>
      <c r="X65" s="7"/>
      <c r="Y65" s="7"/>
    </row>
    <row r="66" spans="1:25" ht="13.15" customHeight="1" x14ac:dyDescent="0.3">
      <c r="A66" s="7"/>
      <c r="B66" s="45" t="s">
        <v>7</v>
      </c>
      <c r="C66" s="12">
        <f>1/H61</f>
        <v>0.125</v>
      </c>
      <c r="D66" s="12">
        <f>1/H62</f>
        <v>0.14285714285714285</v>
      </c>
      <c r="E66" s="12">
        <f>1/H63</f>
        <v>0.16666666666666666</v>
      </c>
      <c r="F66" s="12">
        <f>1/H64</f>
        <v>0.2</v>
      </c>
      <c r="G66" s="12">
        <f>1/H65</f>
        <v>0.33333333333333331</v>
      </c>
      <c r="H66" s="10">
        <v>1</v>
      </c>
      <c r="I66" s="16">
        <v>3</v>
      </c>
      <c r="J66" s="27">
        <v>3.1021297152746857E-2</v>
      </c>
      <c r="K66" s="30">
        <v>3.1021297152593896E-2</v>
      </c>
      <c r="L66" s="40">
        <v>3.0843565378501636E-2</v>
      </c>
      <c r="M66" s="28">
        <v>3.5029909882128625E-2</v>
      </c>
      <c r="N66" s="7"/>
      <c r="O66" s="7"/>
      <c r="P66" s="7"/>
      <c r="Q66" s="7"/>
      <c r="R66" s="6"/>
      <c r="S66" s="7"/>
      <c r="T66" s="7"/>
      <c r="U66" s="7"/>
      <c r="V66" s="7"/>
      <c r="W66" s="7"/>
      <c r="X66" s="7"/>
      <c r="Y66" s="7"/>
    </row>
    <row r="67" spans="1:25" ht="13.15" customHeight="1" x14ac:dyDescent="0.3">
      <c r="A67" s="7"/>
      <c r="B67" s="45" t="s">
        <v>8</v>
      </c>
      <c r="C67" s="12">
        <f>1/I61</f>
        <v>0.1111111111111111</v>
      </c>
      <c r="D67" s="12">
        <f>1/I62</f>
        <v>0.125</v>
      </c>
      <c r="E67" s="12">
        <f>1/I63</f>
        <v>0.14285714285714285</v>
      </c>
      <c r="F67" s="12">
        <f>1/I64</f>
        <v>0.16666666666666666</v>
      </c>
      <c r="G67" s="12">
        <f>1/I65</f>
        <v>0.2</v>
      </c>
      <c r="H67" s="12">
        <f>1/I66</f>
        <v>0.33333333333333331</v>
      </c>
      <c r="I67" s="10">
        <v>1</v>
      </c>
      <c r="J67" s="27">
        <v>2.0026616187521981E-2</v>
      </c>
      <c r="K67" s="30">
        <v>2.0026616186460913E-2</v>
      </c>
      <c r="L67" s="40">
        <v>1.926123087935162E-2</v>
      </c>
      <c r="M67" s="28">
        <v>2.1553078344125731E-2</v>
      </c>
      <c r="N67" s="7"/>
      <c r="O67" s="7"/>
      <c r="P67" s="7"/>
      <c r="Q67" s="7"/>
      <c r="R67" s="6"/>
      <c r="S67" s="7"/>
      <c r="T67" s="7"/>
      <c r="U67" s="7"/>
      <c r="V67" s="7"/>
      <c r="W67" s="7"/>
      <c r="X67" s="7"/>
      <c r="Y67" s="7"/>
    </row>
    <row r="68" spans="1:25" ht="13.15" customHeight="1" x14ac:dyDescent="0.3">
      <c r="A68" s="7"/>
      <c r="B68" s="14"/>
      <c r="C68" s="14"/>
      <c r="D68" s="14"/>
      <c r="E68" s="7"/>
      <c r="F68" s="7"/>
      <c r="G68" s="7"/>
      <c r="H68" s="7"/>
      <c r="I68" s="42" t="s">
        <v>17</v>
      </c>
      <c r="J68" s="34">
        <v>7.6885408262191532</v>
      </c>
      <c r="K68" s="31">
        <v>7.688540826212602</v>
      </c>
      <c r="L68" s="26">
        <v>7.6858240525915296</v>
      </c>
      <c r="M68" s="26">
        <v>7.7234194174928206</v>
      </c>
      <c r="N68" s="7"/>
      <c r="O68" s="7"/>
      <c r="P68" s="7"/>
      <c r="Q68" s="7"/>
      <c r="R68" s="6"/>
      <c r="S68" s="7"/>
      <c r="T68" s="7"/>
      <c r="U68" s="7"/>
      <c r="V68" s="7"/>
      <c r="W68" s="7"/>
      <c r="X68" s="7"/>
      <c r="Y68" s="7"/>
    </row>
    <row r="69" spans="1:25" ht="13.15" customHeight="1" x14ac:dyDescent="0.3">
      <c r="A69" s="7"/>
      <c r="B69" s="14"/>
      <c r="C69" s="14"/>
      <c r="D69" s="14"/>
      <c r="E69" s="7"/>
      <c r="F69" s="7"/>
      <c r="G69" s="7"/>
      <c r="H69" s="7"/>
      <c r="I69" s="44" t="s">
        <v>4</v>
      </c>
      <c r="J69" s="34">
        <v>8.6936973007468832E-2</v>
      </c>
      <c r="K69" s="31">
        <v>8.6936973006641674E-2</v>
      </c>
      <c r="L69" s="26">
        <v>8.6593946034284025E-2</v>
      </c>
      <c r="M69" s="26">
        <v>9.1340835542022797E-2</v>
      </c>
      <c r="N69" s="7"/>
      <c r="O69" s="7"/>
      <c r="P69" s="7"/>
      <c r="Q69" s="7"/>
      <c r="R69" s="6"/>
      <c r="S69" s="7"/>
      <c r="T69" s="7"/>
      <c r="U69" s="7"/>
      <c r="V69" s="7"/>
      <c r="W69" s="7"/>
      <c r="X69" s="7"/>
      <c r="Y69" s="7"/>
    </row>
    <row r="70" spans="1:25" ht="13.15" customHeight="1" x14ac:dyDescent="0.3">
      <c r="A70" s="7"/>
      <c r="B70" s="14"/>
      <c r="C70" s="14"/>
      <c r="D70" s="14"/>
      <c r="E70" s="15"/>
      <c r="F70" s="17"/>
      <c r="G70" s="17"/>
      <c r="H70" s="17"/>
      <c r="I70" s="18"/>
      <c r="J70" s="7"/>
      <c r="K70" s="8"/>
      <c r="L70" s="8"/>
      <c r="M70" s="8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</row>
    <row r="71" spans="1:25" ht="13.15" customHeight="1" x14ac:dyDescent="0.3">
      <c r="A71" s="7"/>
      <c r="B71" s="14"/>
      <c r="C71" s="14"/>
      <c r="D71" s="14"/>
      <c r="E71" s="15"/>
      <c r="F71" s="17"/>
      <c r="G71" s="17"/>
      <c r="H71" s="17"/>
      <c r="I71" s="18"/>
      <c r="J71" s="7"/>
      <c r="K71" s="8"/>
      <c r="L71" s="8"/>
      <c r="M71" s="8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</row>
    <row r="72" spans="1:25" ht="13.15" customHeight="1" x14ac:dyDescent="0.3">
      <c r="A72" s="7"/>
      <c r="B72" s="14"/>
      <c r="C72" s="14"/>
      <c r="D72" s="14"/>
      <c r="E72" s="15"/>
      <c r="F72" s="17"/>
      <c r="G72" s="17"/>
      <c r="H72" s="17"/>
      <c r="I72" s="18"/>
      <c r="J72" s="7"/>
      <c r="K72" s="47" t="s">
        <v>18</v>
      </c>
      <c r="L72" s="47" t="s">
        <v>18</v>
      </c>
      <c r="M72" s="8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</row>
    <row r="73" spans="1:25" ht="13.15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16" t="s">
        <v>16</v>
      </c>
      <c r="L73" s="16" t="s">
        <v>13</v>
      </c>
      <c r="M73" s="16" t="s">
        <v>12</v>
      </c>
      <c r="N73" s="16" t="s">
        <v>14</v>
      </c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</row>
    <row r="74" spans="1:25" ht="13.15" customHeight="1" x14ac:dyDescent="0.35">
      <c r="A74" s="7"/>
      <c r="B74" s="46"/>
      <c r="C74" s="45" t="s">
        <v>0</v>
      </c>
      <c r="D74" s="45" t="s">
        <v>1</v>
      </c>
      <c r="E74" s="45" t="s">
        <v>3</v>
      </c>
      <c r="F74" s="45" t="s">
        <v>5</v>
      </c>
      <c r="G74" s="45" t="s">
        <v>6</v>
      </c>
      <c r="H74" s="45" t="s">
        <v>7</v>
      </c>
      <c r="I74" s="45" t="s">
        <v>8</v>
      </c>
      <c r="J74" s="45" t="s">
        <v>9</v>
      </c>
      <c r="K74" s="25" t="s">
        <v>11</v>
      </c>
      <c r="L74" s="25" t="s">
        <v>11</v>
      </c>
      <c r="M74" s="25" t="s">
        <v>11</v>
      </c>
      <c r="N74" s="25" t="s">
        <v>11</v>
      </c>
      <c r="O74" s="8"/>
      <c r="P74" s="7"/>
      <c r="Q74" s="7"/>
      <c r="R74" s="6"/>
      <c r="T74" s="7"/>
      <c r="U74" s="7"/>
      <c r="V74" s="7"/>
      <c r="W74" s="7"/>
      <c r="X74" s="7"/>
      <c r="Y74" s="7"/>
    </row>
    <row r="75" spans="1:25" ht="13.15" customHeight="1" x14ac:dyDescent="0.3">
      <c r="A75" s="7"/>
      <c r="B75" s="45" t="s">
        <v>0</v>
      </c>
      <c r="C75" s="10">
        <v>1</v>
      </c>
      <c r="D75" s="16">
        <v>3</v>
      </c>
      <c r="E75" s="16">
        <v>4</v>
      </c>
      <c r="F75" s="21">
        <v>5</v>
      </c>
      <c r="G75" s="21">
        <v>6</v>
      </c>
      <c r="H75" s="21">
        <v>7</v>
      </c>
      <c r="I75" s="21">
        <v>8</v>
      </c>
      <c r="J75" s="21">
        <v>9</v>
      </c>
      <c r="K75" s="27">
        <f t="array" ref="K75:K84">AHPmat_Algebra(C75:J82)</f>
        <v>0.36899540555155907</v>
      </c>
      <c r="L75" s="30">
        <f t="array" ref="L75:L84">ahpmat_power(C75:J82)</f>
        <v>0.36899540555805788</v>
      </c>
      <c r="M75" s="39">
        <f t="array" ref="M75:M84">ahpmat_rgm(C75:J82)</f>
        <v>0.36297612160094483</v>
      </c>
      <c r="N75" s="28">
        <f t="array" ref="N75:N84">AHPmat_ColNorm(C75:J82)</f>
        <v>0.35841495041307975</v>
      </c>
      <c r="O75" s="7"/>
      <c r="P75" s="8"/>
      <c r="Q75" s="7"/>
      <c r="R75" s="6"/>
      <c r="T75" s="7"/>
      <c r="U75" s="7"/>
      <c r="V75" s="7"/>
      <c r="W75" s="7"/>
      <c r="X75" s="7"/>
      <c r="Y75" s="7"/>
    </row>
    <row r="76" spans="1:25" ht="13.15" customHeight="1" x14ac:dyDescent="0.3">
      <c r="A76" s="7"/>
      <c r="B76" s="45" t="s">
        <v>1</v>
      </c>
      <c r="C76" s="12">
        <f>1/D75</f>
        <v>0.33333333333333331</v>
      </c>
      <c r="D76" s="10">
        <v>1</v>
      </c>
      <c r="E76" s="16">
        <v>2</v>
      </c>
      <c r="F76" s="21">
        <v>3</v>
      </c>
      <c r="G76" s="21">
        <v>5</v>
      </c>
      <c r="H76" s="21">
        <v>6</v>
      </c>
      <c r="I76" s="21">
        <v>7</v>
      </c>
      <c r="J76" s="21">
        <v>8</v>
      </c>
      <c r="K76" s="27">
        <v>0.21413633467852994</v>
      </c>
      <c r="L76" s="30">
        <v>0.21413633467296456</v>
      </c>
      <c r="M76" s="39">
        <v>0.2204595090431484</v>
      </c>
      <c r="N76" s="28">
        <v>0.2091471209084767</v>
      </c>
      <c r="O76" s="8"/>
      <c r="P76" s="8"/>
      <c r="Q76" s="7"/>
      <c r="R76" s="6"/>
      <c r="T76" s="7"/>
      <c r="U76" s="7"/>
      <c r="V76" s="7"/>
      <c r="W76" s="7"/>
      <c r="X76" s="7"/>
      <c r="Y76" s="7"/>
    </row>
    <row r="77" spans="1:25" ht="13.15" customHeight="1" x14ac:dyDescent="0.3">
      <c r="A77" s="7"/>
      <c r="B77" s="45" t="s">
        <v>3</v>
      </c>
      <c r="C77" s="12">
        <f>1/E75</f>
        <v>0.25</v>
      </c>
      <c r="D77" s="12">
        <f>1/E76</f>
        <v>0.5</v>
      </c>
      <c r="E77" s="10">
        <v>1</v>
      </c>
      <c r="F77" s="21">
        <v>3</v>
      </c>
      <c r="G77" s="21">
        <v>4</v>
      </c>
      <c r="H77" s="21">
        <v>5</v>
      </c>
      <c r="I77" s="21">
        <v>6</v>
      </c>
      <c r="J77" s="21">
        <v>7</v>
      </c>
      <c r="K77" s="27">
        <v>0.16262319686542898</v>
      </c>
      <c r="L77" s="30">
        <v>0.1626231968583145</v>
      </c>
      <c r="M77" s="39">
        <v>0.1639929753705722</v>
      </c>
      <c r="N77" s="28">
        <v>0.16022991336044709</v>
      </c>
      <c r="O77" s="8"/>
      <c r="P77" s="8"/>
      <c r="Q77" s="7"/>
      <c r="R77" s="6"/>
      <c r="T77" s="7"/>
      <c r="U77" s="7"/>
      <c r="V77" s="7"/>
      <c r="W77" s="7"/>
      <c r="X77" s="7"/>
      <c r="Y77" s="7"/>
    </row>
    <row r="78" spans="1:25" ht="13.15" customHeight="1" x14ac:dyDescent="0.3">
      <c r="A78" s="7"/>
      <c r="B78" s="45" t="s">
        <v>5</v>
      </c>
      <c r="C78" s="12">
        <f>1/F75</f>
        <v>0.2</v>
      </c>
      <c r="D78" s="12">
        <f>1/F76</f>
        <v>0.33333333333333331</v>
      </c>
      <c r="E78" s="12">
        <f>1/F77</f>
        <v>0.33333333333333331</v>
      </c>
      <c r="F78" s="10">
        <v>1</v>
      </c>
      <c r="G78" s="21">
        <v>3</v>
      </c>
      <c r="H78" s="21">
        <v>4</v>
      </c>
      <c r="I78" s="21">
        <v>5</v>
      </c>
      <c r="J78" s="21">
        <v>6</v>
      </c>
      <c r="K78" s="27">
        <v>0.10327455982710575</v>
      </c>
      <c r="L78" s="30">
        <v>0.10327455982396559</v>
      </c>
      <c r="M78" s="39">
        <v>0.10361501032708915</v>
      </c>
      <c r="N78" s="28">
        <v>0.10656561253430225</v>
      </c>
      <c r="O78" s="8"/>
      <c r="P78" s="7"/>
      <c r="Q78" s="7"/>
      <c r="R78" s="6"/>
      <c r="T78" s="7"/>
      <c r="U78" s="7"/>
      <c r="V78" s="7"/>
      <c r="W78" s="7"/>
      <c r="X78" s="7"/>
      <c r="Y78" s="7"/>
    </row>
    <row r="79" spans="1:25" ht="13.15" customHeight="1" x14ac:dyDescent="0.3">
      <c r="A79" s="7"/>
      <c r="B79" s="45" t="s">
        <v>6</v>
      </c>
      <c r="C79" s="22">
        <f>1/G75</f>
        <v>0.16666666666666666</v>
      </c>
      <c r="D79" s="22">
        <f>1/G76</f>
        <v>0.2</v>
      </c>
      <c r="E79" s="22">
        <f>1/G77</f>
        <v>0.25</v>
      </c>
      <c r="F79" s="22">
        <f>1/G78</f>
        <v>0.33333333333333331</v>
      </c>
      <c r="G79" s="23">
        <v>1</v>
      </c>
      <c r="H79" s="21">
        <v>3</v>
      </c>
      <c r="I79" s="21">
        <v>4</v>
      </c>
      <c r="J79" s="21">
        <v>5</v>
      </c>
      <c r="K79" s="27">
        <v>6.4608507770495968E-2</v>
      </c>
      <c r="L79" s="30">
        <v>6.4608507771718768E-2</v>
      </c>
      <c r="M79" s="39">
        <v>6.3865676959758394E-2</v>
      </c>
      <c r="N79" s="28">
        <v>7.0119437405838966E-2</v>
      </c>
      <c r="O79" s="8"/>
      <c r="P79" s="7"/>
      <c r="Q79" s="7"/>
      <c r="R79" s="6"/>
      <c r="T79" s="7"/>
      <c r="U79" s="7"/>
      <c r="V79" s="7"/>
      <c r="W79" s="7"/>
      <c r="X79" s="7"/>
      <c r="Y79" s="7"/>
    </row>
    <row r="80" spans="1:25" ht="13.15" customHeight="1" x14ac:dyDescent="0.3">
      <c r="A80" s="7"/>
      <c r="B80" s="45" t="s">
        <v>7</v>
      </c>
      <c r="C80" s="12">
        <f>1/H75</f>
        <v>0.14285714285714285</v>
      </c>
      <c r="D80" s="12">
        <f>1/H76</f>
        <v>0.16666666666666666</v>
      </c>
      <c r="E80" s="12">
        <f>1/H77</f>
        <v>0.2</v>
      </c>
      <c r="F80" s="12">
        <f>1/H78</f>
        <v>0.25</v>
      </c>
      <c r="G80" s="12">
        <f>1/H79</f>
        <v>0.33333333333333331</v>
      </c>
      <c r="H80" s="10">
        <v>1</v>
      </c>
      <c r="I80" s="16">
        <v>3</v>
      </c>
      <c r="J80" s="21">
        <v>4</v>
      </c>
      <c r="K80" s="27">
        <v>4.1387893200354152E-2</v>
      </c>
      <c r="L80" s="30">
        <v>4.138789320363976E-2</v>
      </c>
      <c r="M80" s="39">
        <v>4.0950481669369994E-2</v>
      </c>
      <c r="N80" s="28">
        <v>4.6338403551573239E-2</v>
      </c>
      <c r="O80" s="8"/>
      <c r="P80" s="7"/>
      <c r="Q80" s="7"/>
      <c r="R80" s="6"/>
      <c r="T80" s="7"/>
      <c r="U80" s="7"/>
      <c r="V80" s="7"/>
      <c r="W80" s="7"/>
      <c r="X80" s="7"/>
      <c r="Y80" s="7"/>
    </row>
    <row r="81" spans="1:25" ht="13.15" customHeight="1" x14ac:dyDescent="0.3">
      <c r="A81" s="7"/>
      <c r="B81" s="45" t="s">
        <v>8</v>
      </c>
      <c r="C81" s="12">
        <f>1/I75</f>
        <v>0.125</v>
      </c>
      <c r="D81" s="12">
        <f>1/I76</f>
        <v>0.14285714285714285</v>
      </c>
      <c r="E81" s="12">
        <f>1/I77</f>
        <v>0.16666666666666666</v>
      </c>
      <c r="F81" s="12">
        <f>1/I78</f>
        <v>0.2</v>
      </c>
      <c r="G81" s="12">
        <f>1/I79</f>
        <v>0.25</v>
      </c>
      <c r="H81" s="12">
        <f>1/I80</f>
        <v>0.33333333333333331</v>
      </c>
      <c r="I81" s="10">
        <v>1</v>
      </c>
      <c r="J81" s="16">
        <v>3</v>
      </c>
      <c r="K81" s="27">
        <v>2.6883167974827676E-2</v>
      </c>
      <c r="L81" s="30">
        <v>2.6883167977844614E-2</v>
      </c>
      <c r="M81" s="39">
        <v>2.6553102205425064E-2</v>
      </c>
      <c r="N81" s="28">
        <v>2.998832470839357E-2</v>
      </c>
      <c r="O81" s="8"/>
      <c r="P81" s="7"/>
      <c r="Q81" s="7"/>
      <c r="R81" s="6"/>
      <c r="T81" s="7"/>
      <c r="U81" s="7"/>
      <c r="V81" s="7"/>
      <c r="W81" s="7"/>
      <c r="X81" s="7"/>
      <c r="Y81" s="7"/>
    </row>
    <row r="82" spans="1:25" ht="13.15" customHeight="1" x14ac:dyDescent="0.3">
      <c r="A82" s="7"/>
      <c r="B82" s="45" t="s">
        <v>9</v>
      </c>
      <c r="C82" s="12">
        <f>1/J75</f>
        <v>0.1111111111111111</v>
      </c>
      <c r="D82" s="12">
        <f>1/J76</f>
        <v>0.125</v>
      </c>
      <c r="E82" s="12">
        <f>1/J77</f>
        <v>0.14285714285714285</v>
      </c>
      <c r="F82" s="12">
        <f>1/J78</f>
        <v>0.16666666666666666</v>
      </c>
      <c r="G82" s="12">
        <f>1/J79</f>
        <v>0.2</v>
      </c>
      <c r="H82" s="12">
        <f>1/J80</f>
        <v>0.25</v>
      </c>
      <c r="I82" s="12">
        <f>1/J81</f>
        <v>0.33333333333333331</v>
      </c>
      <c r="J82" s="10">
        <v>1</v>
      </c>
      <c r="K82" s="27">
        <v>1.8090934131698464E-2</v>
      </c>
      <c r="L82" s="30">
        <v>1.8090934133494482E-2</v>
      </c>
      <c r="M82" s="39">
        <v>1.7587122823691945E-2</v>
      </c>
      <c r="N82" s="28">
        <v>1.9196237117888412E-2</v>
      </c>
      <c r="O82" s="8"/>
      <c r="P82" s="7"/>
      <c r="Q82" s="7"/>
      <c r="R82" s="6"/>
      <c r="T82" s="7"/>
      <c r="U82" s="7"/>
      <c r="V82" s="7"/>
      <c r="W82" s="7"/>
      <c r="X82" s="7"/>
      <c r="Y82" s="7"/>
    </row>
    <row r="83" spans="1:25" ht="13.15" customHeight="1" x14ac:dyDescent="0.3">
      <c r="A83" s="7"/>
      <c r="B83" s="14"/>
      <c r="C83" s="14"/>
      <c r="D83" s="14"/>
      <c r="E83" s="15"/>
      <c r="F83" s="17"/>
      <c r="G83" s="7"/>
      <c r="H83" s="7"/>
      <c r="I83" s="7"/>
      <c r="J83" s="42" t="s">
        <v>17</v>
      </c>
      <c r="K83" s="34">
        <v>8.7630360637158162</v>
      </c>
      <c r="L83" s="31">
        <v>8.7630360637267088</v>
      </c>
      <c r="M83" s="31">
        <v>8.7609339097794425</v>
      </c>
      <c r="N83" s="31">
        <v>8.7951410050670003</v>
      </c>
      <c r="O83" s="7"/>
      <c r="P83" s="7"/>
      <c r="Q83" s="7"/>
      <c r="R83" s="6"/>
      <c r="T83" s="7"/>
      <c r="U83" s="7"/>
      <c r="V83" s="7"/>
      <c r="W83" s="7"/>
      <c r="X83" s="7"/>
      <c r="Y83" s="7"/>
    </row>
    <row r="84" spans="1:25" ht="13.15" customHeight="1" x14ac:dyDescent="0.3">
      <c r="A84" s="7"/>
      <c r="B84" s="14"/>
      <c r="C84" s="14"/>
      <c r="D84" s="14"/>
      <c r="E84" s="15"/>
      <c r="F84" s="17"/>
      <c r="G84" s="7"/>
      <c r="H84" s="7"/>
      <c r="I84" s="7"/>
      <c r="J84" s="44" t="s">
        <v>4</v>
      </c>
      <c r="K84" s="34">
        <v>7.7308618410923638E-2</v>
      </c>
      <c r="L84" s="31">
        <v>7.7308618412027241E-2</v>
      </c>
      <c r="M84" s="31">
        <v>7.70956342228412E-2</v>
      </c>
      <c r="N84" s="31">
        <v>8.0561398689665692E-2</v>
      </c>
      <c r="O84" s="7"/>
      <c r="P84" s="7"/>
      <c r="Q84" s="7"/>
      <c r="R84" s="6"/>
      <c r="T84" s="7"/>
      <c r="U84" s="7"/>
      <c r="V84" s="7"/>
      <c r="W84" s="7"/>
      <c r="X84" s="7"/>
      <c r="Y84" s="7"/>
    </row>
    <row r="85" spans="1:25" ht="13.15" customHeight="1" x14ac:dyDescent="0.3">
      <c r="A85" s="7"/>
      <c r="B85" s="14"/>
      <c r="C85" s="14"/>
      <c r="D85" s="14"/>
      <c r="E85" s="15"/>
      <c r="F85" s="17"/>
      <c r="G85" s="17"/>
      <c r="H85" s="17"/>
      <c r="I85" s="17"/>
      <c r="J85" s="18"/>
      <c r="K85" s="7"/>
      <c r="L85" s="7"/>
      <c r="M85" s="7"/>
      <c r="N85" s="8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</row>
    <row r="86" spans="1:25" ht="13.15" customHeight="1" x14ac:dyDescent="0.3">
      <c r="A86" s="7"/>
      <c r="B86" s="14"/>
      <c r="C86" s="14"/>
      <c r="D86" s="14"/>
      <c r="E86" s="15"/>
      <c r="F86" s="17"/>
      <c r="G86" s="17"/>
      <c r="H86" s="17"/>
      <c r="I86" s="17"/>
      <c r="J86" s="18"/>
      <c r="K86" s="7"/>
      <c r="L86" s="7"/>
      <c r="M86" s="7"/>
      <c r="N86" s="8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</row>
    <row r="87" spans="1:25" ht="13.15" customHeight="1" x14ac:dyDescent="0.3">
      <c r="A87" s="7"/>
      <c r="B87" s="14"/>
      <c r="C87" s="14"/>
      <c r="D87" s="14"/>
      <c r="E87" s="15"/>
      <c r="F87" s="17"/>
      <c r="G87" s="17"/>
      <c r="H87" s="17"/>
      <c r="I87" s="17"/>
      <c r="J87" s="18"/>
      <c r="K87" s="7"/>
      <c r="L87" s="47" t="s">
        <v>18</v>
      </c>
      <c r="M87" s="47" t="s">
        <v>18</v>
      </c>
      <c r="N87" s="8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</row>
    <row r="88" spans="1:25" ht="13.15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16" t="s">
        <v>16</v>
      </c>
      <c r="M88" s="16" t="s">
        <v>13</v>
      </c>
      <c r="N88" s="16" t="s">
        <v>12</v>
      </c>
      <c r="O88" s="16" t="s">
        <v>14</v>
      </c>
      <c r="P88" s="7"/>
      <c r="Q88" s="7"/>
      <c r="R88" s="7"/>
      <c r="S88" s="7"/>
      <c r="T88" s="7"/>
      <c r="U88" s="7"/>
      <c r="V88" s="7"/>
      <c r="W88" s="7"/>
      <c r="X88" s="7"/>
      <c r="Y88" s="7"/>
    </row>
    <row r="89" spans="1:25" ht="13.15" customHeight="1" x14ac:dyDescent="0.35">
      <c r="A89" s="7"/>
      <c r="B89" s="46"/>
      <c r="C89" s="45" t="s">
        <v>0</v>
      </c>
      <c r="D89" s="45" t="s">
        <v>1</v>
      </c>
      <c r="E89" s="45" t="s">
        <v>3</v>
      </c>
      <c r="F89" s="45" t="s">
        <v>5</v>
      </c>
      <c r="G89" s="45" t="s">
        <v>6</v>
      </c>
      <c r="H89" s="45" t="s">
        <v>7</v>
      </c>
      <c r="I89" s="45" t="s">
        <v>8</v>
      </c>
      <c r="J89" s="45" t="s">
        <v>9</v>
      </c>
      <c r="K89" s="45" t="s">
        <v>10</v>
      </c>
      <c r="L89" s="25" t="s">
        <v>11</v>
      </c>
      <c r="M89" s="25" t="s">
        <v>11</v>
      </c>
      <c r="N89" s="25" t="s">
        <v>11</v>
      </c>
      <c r="O89" s="25" t="s">
        <v>11</v>
      </c>
      <c r="P89" s="8"/>
      <c r="Q89" s="7"/>
      <c r="R89" s="6"/>
      <c r="U89" s="7"/>
      <c r="V89" s="7"/>
      <c r="W89" s="7"/>
      <c r="X89" s="7"/>
      <c r="Y89" s="7"/>
    </row>
    <row r="90" spans="1:25" ht="13.15" customHeight="1" x14ac:dyDescent="0.3">
      <c r="A90" s="7"/>
      <c r="B90" s="45" t="s">
        <v>0</v>
      </c>
      <c r="C90" s="10">
        <v>1</v>
      </c>
      <c r="D90" s="16">
        <v>2</v>
      </c>
      <c r="E90" s="16">
        <v>3</v>
      </c>
      <c r="F90" s="21">
        <v>4</v>
      </c>
      <c r="G90" s="21">
        <v>5</v>
      </c>
      <c r="H90" s="21">
        <v>6</v>
      </c>
      <c r="I90" s="21">
        <v>7</v>
      </c>
      <c r="J90" s="21">
        <v>8</v>
      </c>
      <c r="K90" s="21">
        <v>9</v>
      </c>
      <c r="L90" s="27">
        <f t="array" ref="L90:L100">AHPmat_Algebra(C90:K98)</f>
        <v>0.31211039830421894</v>
      </c>
      <c r="M90" s="30">
        <f t="array" ref="M90:M100">ahpmat_power(C90:K98)</f>
        <v>0.31211039829081061</v>
      </c>
      <c r="N90" s="39">
        <f t="array" ref="N90:N100">ahpmat_rgm(C90:K98)</f>
        <v>0.30811964533150416</v>
      </c>
      <c r="O90" s="28">
        <f t="array" ref="O90:O100">AHPmat_ColNorm(C90:K98)</f>
        <v>0.30695259939939601</v>
      </c>
      <c r="P90" s="7"/>
      <c r="Q90" s="8"/>
      <c r="R90" s="6"/>
      <c r="U90" s="7"/>
      <c r="V90" s="7"/>
      <c r="W90" s="7"/>
      <c r="X90" s="7"/>
      <c r="Y90" s="7"/>
    </row>
    <row r="91" spans="1:25" ht="13.15" customHeight="1" x14ac:dyDescent="0.3">
      <c r="A91" s="7"/>
      <c r="B91" s="45" t="s">
        <v>1</v>
      </c>
      <c r="C91" s="12">
        <f>1/D90</f>
        <v>0.5</v>
      </c>
      <c r="D91" s="10">
        <v>1</v>
      </c>
      <c r="E91" s="16">
        <v>2</v>
      </c>
      <c r="F91" s="21">
        <v>3</v>
      </c>
      <c r="G91" s="21">
        <v>4</v>
      </c>
      <c r="H91" s="21">
        <v>5</v>
      </c>
      <c r="I91" s="21">
        <v>6</v>
      </c>
      <c r="J91" s="21">
        <v>7</v>
      </c>
      <c r="K91" s="21">
        <v>8</v>
      </c>
      <c r="L91" s="27">
        <v>0.22234235096640378</v>
      </c>
      <c r="M91" s="30">
        <v>0.22234235096293323</v>
      </c>
      <c r="N91" s="39">
        <v>0.22348308947067055</v>
      </c>
      <c r="O91" s="28">
        <v>0.21820375948433532</v>
      </c>
      <c r="P91" s="8"/>
      <c r="Q91" s="8"/>
      <c r="R91" s="6"/>
      <c r="U91" s="7"/>
      <c r="V91" s="7"/>
      <c r="W91" s="7"/>
      <c r="X91" s="7"/>
      <c r="Y91" s="7"/>
    </row>
    <row r="92" spans="1:25" ht="13.15" customHeight="1" x14ac:dyDescent="0.3">
      <c r="A92" s="7"/>
      <c r="B92" s="45" t="s">
        <v>3</v>
      </c>
      <c r="C92" s="12">
        <f>1/E90</f>
        <v>0.33333333333333331</v>
      </c>
      <c r="D92" s="12">
        <f>1/E91</f>
        <v>0.5</v>
      </c>
      <c r="E92" s="10">
        <v>1</v>
      </c>
      <c r="F92" s="21">
        <v>2</v>
      </c>
      <c r="G92" s="21">
        <v>3</v>
      </c>
      <c r="H92" s="21">
        <v>4</v>
      </c>
      <c r="I92" s="21">
        <v>5</v>
      </c>
      <c r="J92" s="21">
        <v>6</v>
      </c>
      <c r="K92" s="21">
        <v>7</v>
      </c>
      <c r="L92" s="27">
        <v>0.15546537382713721</v>
      </c>
      <c r="M92" s="30">
        <v>0.15546537382993703</v>
      </c>
      <c r="N92" s="39">
        <v>0.15699573770540709</v>
      </c>
      <c r="O92" s="28">
        <v>0.15432257572489969</v>
      </c>
      <c r="P92" s="8"/>
      <c r="Q92" s="8"/>
      <c r="R92" s="6"/>
      <c r="U92" s="7"/>
      <c r="V92" s="7"/>
      <c r="W92" s="7"/>
      <c r="X92" s="7"/>
      <c r="Y92" s="7"/>
    </row>
    <row r="93" spans="1:25" ht="13.15" customHeight="1" x14ac:dyDescent="0.3">
      <c r="A93" s="7"/>
      <c r="B93" s="45" t="s">
        <v>5</v>
      </c>
      <c r="C93" s="12">
        <f>1/F90</f>
        <v>0.25</v>
      </c>
      <c r="D93" s="12">
        <f>1/F91</f>
        <v>0.33333333333333331</v>
      </c>
      <c r="E93" s="12">
        <f>1/F92</f>
        <v>0.5</v>
      </c>
      <c r="F93" s="10">
        <v>1</v>
      </c>
      <c r="G93" s="21">
        <v>2</v>
      </c>
      <c r="H93" s="21">
        <v>3</v>
      </c>
      <c r="I93" s="21">
        <v>4</v>
      </c>
      <c r="J93" s="21">
        <v>5</v>
      </c>
      <c r="K93" s="21">
        <v>6</v>
      </c>
      <c r="L93" s="27">
        <v>0.1075064422151332</v>
      </c>
      <c r="M93" s="30">
        <v>0.10750644222032725</v>
      </c>
      <c r="N93" s="39">
        <v>0.10841578657702851</v>
      </c>
      <c r="O93" s="28">
        <v>0.10888162043467035</v>
      </c>
      <c r="P93" s="8"/>
      <c r="Q93" s="7"/>
      <c r="R93" s="6"/>
      <c r="U93" s="7"/>
      <c r="V93" s="7"/>
      <c r="W93" s="7"/>
      <c r="X93" s="7"/>
      <c r="Y93" s="7"/>
    </row>
    <row r="94" spans="1:25" ht="13.15" customHeight="1" x14ac:dyDescent="0.3">
      <c r="A94" s="7"/>
      <c r="B94" s="45" t="s">
        <v>6</v>
      </c>
      <c r="C94" s="22">
        <f>1/G90</f>
        <v>0.2</v>
      </c>
      <c r="D94" s="22">
        <f>1/G91</f>
        <v>0.25</v>
      </c>
      <c r="E94" s="22">
        <f>1/G92</f>
        <v>0.33333333333333331</v>
      </c>
      <c r="F94" s="22">
        <f>1/G93</f>
        <v>0.5</v>
      </c>
      <c r="G94" s="23">
        <v>1</v>
      </c>
      <c r="H94" s="21">
        <v>2</v>
      </c>
      <c r="I94" s="21">
        <v>3</v>
      </c>
      <c r="J94" s="21">
        <v>4</v>
      </c>
      <c r="K94" s="21">
        <v>5</v>
      </c>
      <c r="L94" s="27">
        <v>7.3854667447270858E-2</v>
      </c>
      <c r="M94" s="30">
        <v>7.3854667452103825E-2</v>
      </c>
      <c r="N94" s="39">
        <v>7.4296429162660327E-2</v>
      </c>
      <c r="O94" s="28">
        <v>7.6442362557350138E-2</v>
      </c>
      <c r="P94" s="8"/>
      <c r="Q94" s="7"/>
      <c r="R94" s="6"/>
      <c r="U94" s="7"/>
      <c r="V94" s="7"/>
      <c r="W94" s="7"/>
      <c r="X94" s="7"/>
      <c r="Y94" s="7"/>
    </row>
    <row r="95" spans="1:25" ht="13.15" customHeight="1" x14ac:dyDescent="0.3">
      <c r="A95" s="7"/>
      <c r="B95" s="45" t="s">
        <v>7</v>
      </c>
      <c r="C95" s="12">
        <f>1/H90</f>
        <v>0.16666666666666666</v>
      </c>
      <c r="D95" s="12">
        <f>1/H91</f>
        <v>0.2</v>
      </c>
      <c r="E95" s="12">
        <f>1/H92</f>
        <v>0.25</v>
      </c>
      <c r="F95" s="12">
        <f>1/H93</f>
        <v>0.33333333333333331</v>
      </c>
      <c r="G95" s="12">
        <f>1/H94</f>
        <v>0.5</v>
      </c>
      <c r="H95" s="10">
        <v>1</v>
      </c>
      <c r="I95" s="16">
        <v>2</v>
      </c>
      <c r="J95" s="21">
        <v>3</v>
      </c>
      <c r="K95" s="21">
        <v>4</v>
      </c>
      <c r="L95" s="27">
        <v>5.0662140713562162E-2</v>
      </c>
      <c r="M95" s="30">
        <v>5.0662140716750848E-2</v>
      </c>
      <c r="N95" s="39">
        <v>5.0914719715659848E-2</v>
      </c>
      <c r="O95" s="28">
        <v>5.330869760925986E-2</v>
      </c>
      <c r="P95" s="8"/>
      <c r="Q95" s="7"/>
      <c r="R95" s="6"/>
      <c r="U95" s="7"/>
      <c r="V95" s="7"/>
      <c r="W95" s="7"/>
      <c r="X95" s="7"/>
      <c r="Y95" s="7"/>
    </row>
    <row r="96" spans="1:25" ht="13.15" customHeight="1" x14ac:dyDescent="0.3">
      <c r="A96" s="7"/>
      <c r="B96" s="45" t="s">
        <v>8</v>
      </c>
      <c r="C96" s="12">
        <f>1/I90</f>
        <v>0.14285714285714285</v>
      </c>
      <c r="D96" s="12">
        <f>1/I91</f>
        <v>0.16666666666666666</v>
      </c>
      <c r="E96" s="12">
        <f>1/I92</f>
        <v>0.2</v>
      </c>
      <c r="F96" s="12">
        <f>1/I93</f>
        <v>0.25</v>
      </c>
      <c r="G96" s="12">
        <f>1/I94</f>
        <v>0.33333333333333331</v>
      </c>
      <c r="H96" s="12">
        <f>1/I95</f>
        <v>0.5</v>
      </c>
      <c r="I96" s="10">
        <v>1</v>
      </c>
      <c r="J96" s="16">
        <v>2</v>
      </c>
      <c r="K96" s="16">
        <v>3</v>
      </c>
      <c r="L96" s="27">
        <v>3.4997064310458049E-2</v>
      </c>
      <c r="M96" s="30">
        <v>3.4997064311866603E-2</v>
      </c>
      <c r="N96" s="39">
        <v>3.5159931517886628E-2</v>
      </c>
      <c r="O96" s="28">
        <v>3.7028328011566185E-2</v>
      </c>
      <c r="P96" s="8"/>
      <c r="Q96" s="7"/>
      <c r="R96" s="6"/>
      <c r="U96" s="7"/>
      <c r="V96" s="7"/>
      <c r="W96" s="7"/>
      <c r="X96" s="7"/>
      <c r="Y96" s="7"/>
    </row>
    <row r="97" spans="1:25" ht="13.15" customHeight="1" x14ac:dyDescent="0.3">
      <c r="A97" s="7"/>
      <c r="B97" s="45" t="s">
        <v>9</v>
      </c>
      <c r="C97" s="12">
        <f>1/J90</f>
        <v>0.125</v>
      </c>
      <c r="D97" s="12">
        <f>1/J91</f>
        <v>0.14285714285714285</v>
      </c>
      <c r="E97" s="12">
        <f>1/J92</f>
        <v>0.16666666666666666</v>
      </c>
      <c r="F97" s="12">
        <f>1/J93</f>
        <v>0.2</v>
      </c>
      <c r="G97" s="12">
        <f>1/J94</f>
        <v>0.25</v>
      </c>
      <c r="H97" s="12">
        <f>1/J95</f>
        <v>0.33333333333333331</v>
      </c>
      <c r="I97" s="12">
        <f>1/J96</f>
        <v>0.5</v>
      </c>
      <c r="J97" s="10">
        <v>1</v>
      </c>
      <c r="K97" s="16">
        <v>2</v>
      </c>
      <c r="L97" s="27">
        <v>2.4723789451551327E-2</v>
      </c>
      <c r="M97" s="30">
        <v>2.4723789451640367E-2</v>
      </c>
      <c r="N97" s="39">
        <v>2.4699673695206512E-2</v>
      </c>
      <c r="O97" s="28">
        <v>2.5945969037650621E-2</v>
      </c>
      <c r="P97" s="8"/>
      <c r="Q97" s="7"/>
      <c r="R97" s="6"/>
      <c r="U97" s="7"/>
      <c r="V97" s="7"/>
      <c r="W97" s="7"/>
      <c r="X97" s="7"/>
      <c r="Y97" s="7"/>
    </row>
    <row r="98" spans="1:25" ht="13.15" customHeight="1" x14ac:dyDescent="0.3">
      <c r="A98" s="7"/>
      <c r="B98" s="45" t="s">
        <v>10</v>
      </c>
      <c r="C98" s="12">
        <f>1/K90</f>
        <v>0.1111111111111111</v>
      </c>
      <c r="D98" s="12">
        <f>1/K91</f>
        <v>0.125</v>
      </c>
      <c r="E98" s="12">
        <f>1/K92</f>
        <v>0.14285714285714285</v>
      </c>
      <c r="F98" s="12">
        <f>1/K93</f>
        <v>0.16666666666666666</v>
      </c>
      <c r="G98" s="12">
        <f>1/K94</f>
        <v>0.2</v>
      </c>
      <c r="H98" s="12">
        <f>1/K95</f>
        <v>0.25</v>
      </c>
      <c r="I98" s="12">
        <f>1/K96</f>
        <v>0.33333333333333331</v>
      </c>
      <c r="J98" s="12">
        <f>1/K97</f>
        <v>0.5</v>
      </c>
      <c r="K98" s="10">
        <v>1</v>
      </c>
      <c r="L98" s="27">
        <v>1.8337772764264511E-2</v>
      </c>
      <c r="M98" s="30">
        <v>1.8337772763630383E-2</v>
      </c>
      <c r="N98" s="39">
        <v>1.7914986823976482E-2</v>
      </c>
      <c r="O98" s="28">
        <v>1.8914087740871801E-2</v>
      </c>
      <c r="P98" s="8"/>
      <c r="Q98" s="7"/>
      <c r="R98" s="6"/>
      <c r="U98" s="7"/>
      <c r="V98" s="7"/>
      <c r="W98" s="7"/>
      <c r="X98" s="7"/>
      <c r="Y98" s="7"/>
    </row>
    <row r="99" spans="1:25" ht="13.15" customHeight="1" x14ac:dyDescent="0.3">
      <c r="A99" s="7"/>
      <c r="B99" s="14"/>
      <c r="C99" s="14"/>
      <c r="D99" s="14"/>
      <c r="E99" s="15"/>
      <c r="F99" s="17"/>
      <c r="G99" s="17"/>
      <c r="H99" s="17"/>
      <c r="I99" s="17"/>
      <c r="J99" s="7"/>
      <c r="K99" s="42" t="s">
        <v>17</v>
      </c>
      <c r="L99" s="34">
        <v>9.4013942140454212</v>
      </c>
      <c r="M99" s="31">
        <v>9.4013942140396161</v>
      </c>
      <c r="N99" s="31">
        <v>9.4004576946358185</v>
      </c>
      <c r="O99" s="31">
        <v>9.4079942175104847</v>
      </c>
      <c r="P99" s="8"/>
      <c r="Q99" s="7"/>
      <c r="R99" s="6"/>
      <c r="U99" s="7"/>
      <c r="V99" s="7"/>
      <c r="W99" s="7"/>
      <c r="X99" s="7"/>
      <c r="Y99" s="7"/>
    </row>
    <row r="100" spans="1:25" ht="13.15" customHeight="1" x14ac:dyDescent="0.3">
      <c r="A100" s="7"/>
      <c r="B100" s="14"/>
      <c r="C100" s="14"/>
      <c r="D100" s="14"/>
      <c r="E100" s="15"/>
      <c r="F100" s="17"/>
      <c r="G100" s="17"/>
      <c r="H100" s="17"/>
      <c r="I100" s="17"/>
      <c r="J100" s="17"/>
      <c r="K100" s="44" t="s">
        <v>4</v>
      </c>
      <c r="L100" s="34">
        <v>3.4602949486674243E-2</v>
      </c>
      <c r="M100" s="31">
        <v>3.4602949486173797E-2</v>
      </c>
      <c r="N100" s="31">
        <v>3.4522215054811942E-2</v>
      </c>
      <c r="O100" s="31">
        <v>3.517191530262799E-2</v>
      </c>
      <c r="P100" s="7"/>
      <c r="Q100" s="7"/>
      <c r="R100" s="6"/>
      <c r="U100" s="7"/>
      <c r="V100" s="7"/>
      <c r="W100" s="7"/>
      <c r="X100" s="7"/>
      <c r="Y100" s="7"/>
    </row>
    <row r="101" spans="1:25" ht="13.15" customHeight="1" x14ac:dyDescent="0.3">
      <c r="A101" s="7"/>
      <c r="B101" s="14"/>
      <c r="C101" s="14"/>
      <c r="D101" s="14"/>
      <c r="E101" s="15"/>
      <c r="F101" s="17"/>
      <c r="G101" s="17"/>
      <c r="H101" s="17"/>
      <c r="I101" s="17"/>
      <c r="J101" s="7"/>
      <c r="K101" s="7"/>
      <c r="L101" s="7"/>
      <c r="M101" s="18"/>
      <c r="N101" s="7"/>
      <c r="O101" s="8"/>
      <c r="P101" s="7"/>
      <c r="Q101" s="7"/>
      <c r="R101" s="7"/>
      <c r="S101" s="7"/>
      <c r="T101" s="7"/>
      <c r="U101" s="7"/>
      <c r="V101" s="7"/>
      <c r="W101" s="7"/>
      <c r="X101" s="7"/>
      <c r="Y101" s="7"/>
    </row>
    <row r="102" spans="1:25" ht="13.15" customHeight="1" x14ac:dyDescent="0.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</row>
    <row r="103" spans="1:25" ht="13.15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</row>
    <row r="104" spans="1:25" ht="13.15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</row>
    <row r="105" spans="1:25" ht="13.15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</row>
    <row r="106" spans="1:25" ht="13.15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</row>
    <row r="107" spans="1:25" ht="13.15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</row>
    <row r="108" spans="1:25" ht="13.15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</row>
    <row r="109" spans="1:25" ht="13.15" customHeight="1" x14ac:dyDescent="0.3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6"/>
    </row>
    <row r="110" spans="1:25" ht="13.15" customHeight="1" x14ac:dyDescent="0.3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</row>
    <row r="111" spans="1:25" ht="13.15" customHeight="1" x14ac:dyDescent="0.3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</row>
    <row r="112" spans="1:25" ht="13.15" customHeight="1" x14ac:dyDescent="0.3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</row>
    <row r="113" spans="1:17" ht="13.15" customHeight="1" x14ac:dyDescent="0.3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</row>
    <row r="114" spans="1:17" ht="13.15" customHeight="1" x14ac:dyDescent="0.3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</row>
    <row r="115" spans="1:17" ht="13.15" customHeight="1" x14ac:dyDescent="0.3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</row>
    <row r="116" spans="1:17" ht="13.15" customHeight="1" x14ac:dyDescent="0.3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</row>
    <row r="117" spans="1:17" ht="13.15" customHeight="1" x14ac:dyDescent="0.3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</row>
    <row r="118" spans="1:17" ht="13.15" customHeight="1" x14ac:dyDescent="0.3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</row>
    <row r="119" spans="1:17" ht="13.1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</row>
    <row r="120" spans="1:17" ht="13.1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</row>
    <row r="121" spans="1:17" ht="13.1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17" ht="13.1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7" ht="13.1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</row>
    <row r="124" spans="1:17" ht="13.1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</row>
    <row r="125" spans="1:17" ht="13.1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</row>
    <row r="126" spans="1:17" ht="13.1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17" ht="13.1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</row>
    <row r="128" spans="1:17" ht="13.1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</row>
    <row r="129" spans="1:16" ht="13.1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</row>
    <row r="130" spans="1:16" ht="13.1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</row>
    <row r="131" spans="1:16" ht="13.1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</row>
    <row r="132" spans="1:16" ht="13.1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</row>
    <row r="133" spans="1:16" ht="13.1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</row>
    <row r="134" spans="1:16" ht="13.1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</row>
    <row r="135" spans="1:16" ht="13.1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</row>
    <row r="136" spans="1:16" ht="13.1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</row>
    <row r="137" spans="1:16" ht="13.1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</row>
    <row r="138" spans="1:16" ht="13.1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</row>
    <row r="139" spans="1:16" ht="13.1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</row>
    <row r="140" spans="1:16" ht="13.1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</row>
    <row r="141" spans="1:16" ht="13.1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</row>
    <row r="142" spans="1:16" ht="13.1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</row>
    <row r="143" spans="1:16" ht="13.1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</row>
    <row r="144" spans="1:16" ht="13.1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</row>
    <row r="145" spans="1:16" ht="13.1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</row>
    <row r="146" spans="1:16" ht="13.1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</row>
    <row r="147" spans="1:16" ht="13.1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</row>
    <row r="148" spans="1:16" ht="13.1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</row>
    <row r="149" spans="1:16" ht="13.1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</row>
    <row r="150" spans="1:16" ht="13.1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</row>
    <row r="151" spans="1:16" ht="13.1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</row>
    <row r="152" spans="1:16" ht="13.1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</row>
    <row r="153" spans="1:16" ht="13.1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</row>
    <row r="154" spans="1:16" ht="13.1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</row>
    <row r="155" spans="1:16" ht="13.1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</row>
    <row r="156" spans="1:16" ht="13.1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</row>
    <row r="157" spans="1:16" ht="13.1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</row>
    <row r="158" spans="1:16" ht="13.1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</row>
    <row r="159" spans="1:16" ht="13.1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</row>
    <row r="160" spans="1:16" ht="13.1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</row>
    <row r="161" spans="1:16" ht="13.1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</row>
    <row r="162" spans="1:16" ht="13.1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</row>
    <row r="163" spans="1:16" ht="13.1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</row>
    <row r="164" spans="1:16" ht="13.1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</row>
    <row r="165" spans="1:16" ht="13.1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</row>
    <row r="166" spans="1:16" ht="13.1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</row>
    <row r="167" spans="1:16" ht="13.1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</row>
    <row r="168" spans="1:16" ht="13.1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</row>
    <row r="169" spans="1:16" ht="13.1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</row>
    <row r="170" spans="1:16" ht="13.1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</row>
    <row r="171" spans="1:16" ht="13.1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</row>
    <row r="172" spans="1:16" ht="13.1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</row>
    <row r="173" spans="1:16" ht="13.1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</row>
    <row r="174" spans="1:16" ht="13.1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</row>
    <row r="175" spans="1:16" ht="13.1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</row>
    <row r="176" spans="1:16" ht="13.1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</row>
    <row r="177" spans="1:16" ht="13.1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</row>
    <row r="178" spans="1:16" ht="13.1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</row>
    <row r="179" spans="1:16" ht="13.1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</row>
    <row r="180" spans="1:16" ht="13.1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</row>
    <row r="181" spans="1:16" ht="13.1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</row>
    <row r="182" spans="1:16" ht="13.1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</row>
    <row r="183" spans="1:16" ht="13.1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</row>
    <row r="184" spans="1:16" ht="13.1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</row>
    <row r="185" spans="1:16" ht="13.1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</row>
    <row r="186" spans="1:16" ht="13.1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</row>
    <row r="187" spans="1:16" ht="13.1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</row>
    <row r="188" spans="1:16" ht="13.1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</row>
    <row r="189" spans="1:16" ht="13.1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</row>
    <row r="190" spans="1:16" ht="13.1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</row>
    <row r="191" spans="1:16" ht="13.1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</row>
    <row r="192" spans="1:16" ht="13.1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</row>
    <row r="193" spans="1:16" ht="13.1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</row>
    <row r="194" spans="1:16" ht="13.1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</row>
    <row r="195" spans="1:16" ht="13.1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</row>
    <row r="196" spans="1:16" ht="13.1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</row>
    <row r="197" spans="1:16" ht="13.1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</row>
    <row r="198" spans="1:16" ht="13.1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</row>
    <row r="199" spans="1:16" ht="13.1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</row>
    <row r="200" spans="1:16" ht="13.1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</row>
    <row r="201" spans="1:16" ht="13.1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</row>
    <row r="202" spans="1:16" ht="13.1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</row>
    <row r="203" spans="1:16" ht="13.1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</row>
    <row r="204" spans="1:16" ht="13.1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</row>
    <row r="205" spans="1:16" ht="13.1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</row>
    <row r="206" spans="1:16" ht="13.1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</row>
    <row r="207" spans="1:16" ht="13.1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</row>
    <row r="208" spans="1:16" ht="13.1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</row>
    <row r="209" spans="1:16" ht="13.1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</row>
    <row r="210" spans="1:16" ht="13.1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</row>
    <row r="211" spans="1:16" ht="13.1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</row>
    <row r="212" spans="1:16" ht="13.1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</row>
    <row r="213" spans="1:16" ht="13.1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</row>
    <row r="214" spans="1:16" ht="13.1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</row>
    <row r="215" spans="1:16" ht="13.1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</row>
    <row r="216" spans="1:16" ht="13.1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</row>
    <row r="217" spans="1:16" ht="13.1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</row>
    <row r="218" spans="1:16" ht="13.1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</row>
    <row r="219" spans="1:16" ht="13.1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</row>
    <row r="220" spans="1:16" ht="13.1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</row>
    <row r="221" spans="1:16" ht="13.1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</row>
    <row r="222" spans="1:16" ht="13.1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</row>
    <row r="223" spans="1:16" ht="13.1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</row>
    <row r="224" spans="1:16" ht="13.1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</row>
    <row r="225" spans="1:16" ht="13.1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</row>
    <row r="226" spans="1:16" ht="13.1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</row>
    <row r="227" spans="1:16" ht="13.1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</row>
    <row r="228" spans="1:16" ht="13.1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</row>
    <row r="229" spans="1:16" ht="13.1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</row>
    <row r="230" spans="1:16" ht="13.1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</row>
    <row r="231" spans="1:16" ht="13.1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</row>
    <row r="232" spans="1:16" ht="13.1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</row>
    <row r="233" spans="1:16" ht="13.1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</row>
    <row r="234" spans="1:16" ht="13.1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</row>
    <row r="235" spans="1:16" ht="13.1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</row>
    <row r="236" spans="1:16" ht="13.1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</row>
    <row r="237" spans="1:16" ht="13.1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</row>
    <row r="238" spans="1:16" ht="13.1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</row>
    <row r="239" spans="1:16" ht="13.1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</row>
    <row r="240" spans="1:16" ht="13.1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</row>
    <row r="241" spans="1:16" ht="13.1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</row>
    <row r="242" spans="1:16" ht="13.1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</row>
    <row r="243" spans="1:16" ht="13.1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</row>
    <row r="244" spans="1:16" ht="13.1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</row>
    <row r="245" spans="1:16" ht="13.1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</row>
    <row r="246" spans="1:16" ht="13.1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</row>
    <row r="247" spans="1:16" ht="13.1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</row>
    <row r="248" spans="1:16" ht="13.1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</row>
    <row r="249" spans="1:16" ht="13.1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</row>
    <row r="250" spans="1:16" ht="13.15" customHeight="1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</row>
    <row r="251" spans="1:16" ht="13.15" customHeight="1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</row>
    <row r="252" spans="1:16" ht="13.15" customHeight="1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</row>
    <row r="253" spans="1:16" ht="13.15" customHeight="1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</row>
    <row r="254" spans="1:16" ht="13.15" customHeight="1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</row>
    <row r="255" spans="1:16" ht="13.15" customHeight="1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</row>
    <row r="256" spans="1:16" ht="13.15" customHeight="1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</row>
    <row r="257" spans="1:16" ht="13.15" customHeight="1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</row>
    <row r="258" spans="1:16" ht="13.15" customHeight="1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</row>
    <row r="259" spans="1:16" ht="13.15" customHeight="1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</row>
    <row r="260" spans="1:16" ht="13.15" customHeight="1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</row>
    <row r="261" spans="1:16" ht="13.15" customHeight="1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</row>
    <row r="262" spans="1:16" ht="13.15" customHeight="1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</row>
    <row r="263" spans="1:16" ht="13.15" customHeight="1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</row>
    <row r="264" spans="1:16" ht="13.15" customHeight="1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</row>
    <row r="265" spans="1:16" ht="13.15" customHeight="1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</row>
    <row r="266" spans="1:16" ht="13.15" customHeight="1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</row>
    <row r="267" spans="1:16" ht="13.15" customHeight="1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</row>
    <row r="268" spans="1:16" ht="13.15" customHeight="1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</row>
    <row r="269" spans="1:16" ht="13.15" customHeight="1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</row>
    <row r="270" spans="1:16" ht="13.15" customHeight="1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</row>
    <row r="271" spans="1:16" ht="13.15" customHeight="1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</row>
    <row r="272" spans="1:16" ht="13.15" customHeight="1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</row>
    <row r="273" spans="1:16" ht="13.15" customHeight="1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</row>
    <row r="274" spans="1:16" ht="13.15" customHeight="1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</row>
    <row r="275" spans="1:16" ht="13.15" customHeight="1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</row>
    <row r="276" spans="1:16" ht="13.15" customHeight="1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</row>
    <row r="277" spans="1:16" ht="13.15" customHeight="1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</row>
    <row r="278" spans="1:16" ht="13.15" customHeight="1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</row>
    <row r="279" spans="1:16" ht="13.15" customHeight="1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</row>
    <row r="280" spans="1:16" ht="13.15" customHeight="1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</row>
    <row r="281" spans="1:16" ht="13.15" customHeight="1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</row>
    <row r="282" spans="1:16" ht="13.15" customHeight="1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</row>
    <row r="283" spans="1:16" ht="13.15" customHeight="1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</row>
    <row r="284" spans="1:16" ht="13.15" customHeight="1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</row>
    <row r="285" spans="1:16" ht="13.15" customHeight="1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</row>
    <row r="286" spans="1:16" ht="13.15" customHeight="1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</row>
    <row r="287" spans="1:16" ht="13.15" customHeight="1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</row>
    <row r="288" spans="1:16" ht="13.15" customHeight="1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</row>
    <row r="289" spans="1:16" ht="13.15" customHeight="1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</row>
    <row r="290" spans="1:16" ht="13.15" customHeight="1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</row>
    <row r="291" spans="1:16" ht="13.15" customHeight="1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</row>
    <row r="292" spans="1:16" ht="13.15" customHeight="1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</row>
    <row r="293" spans="1:16" ht="13.15" customHeight="1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</row>
    <row r="294" spans="1:16" ht="13.15" customHeight="1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</row>
    <row r="295" spans="1:16" ht="13.15" customHeight="1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</row>
    <row r="296" spans="1:16" ht="13.15" customHeight="1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</row>
    <row r="297" spans="1:16" ht="13.15" customHeight="1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</row>
    <row r="298" spans="1:16" ht="13.15" customHeight="1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</row>
    <row r="299" spans="1:16" ht="13.15" customHeight="1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</row>
    <row r="300" spans="1:16" ht="13.15" customHeight="1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</row>
    <row r="301" spans="1:16" ht="13.15" customHeight="1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</row>
    <row r="302" spans="1:16" ht="13.15" customHeight="1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</row>
    <row r="303" spans="1:16" ht="13.15" customHeight="1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</row>
    <row r="304" spans="1:16" ht="13.15" customHeight="1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</row>
    <row r="305" spans="1:16" ht="13.15" customHeight="1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</row>
    <row r="306" spans="1:16" ht="13.15" customHeight="1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</row>
    <row r="307" spans="1:16" ht="13.15" customHeight="1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</row>
    <row r="308" spans="1:16" ht="13.15" customHeight="1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</row>
    <row r="309" spans="1:16" ht="13.15" customHeight="1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</row>
    <row r="310" spans="1:16" ht="13.15" customHeight="1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</row>
    <row r="311" spans="1:16" ht="13.15" customHeight="1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</row>
    <row r="312" spans="1:16" ht="13.15" customHeight="1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</row>
    <row r="313" spans="1:16" ht="13.15" customHeight="1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</row>
    <row r="314" spans="1:16" ht="13.15" customHeight="1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</row>
    <row r="315" spans="1:16" ht="13.15" customHeight="1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</row>
    <row r="316" spans="1:16" ht="13.15" customHeight="1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</row>
    <row r="317" spans="1:16" ht="13.15" customHeight="1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</row>
    <row r="318" spans="1:16" ht="13.15" customHeight="1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</row>
    <row r="319" spans="1:16" ht="13.15" customHeight="1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</row>
    <row r="320" spans="1:16" ht="13.15" customHeight="1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</row>
    <row r="321" spans="1:16" ht="13.15" customHeight="1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</row>
    <row r="322" spans="1:16" ht="13.15" customHeight="1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</row>
    <row r="323" spans="1:16" ht="13.15" customHeight="1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</row>
    <row r="324" spans="1:16" ht="13.15" customHeight="1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</row>
    <row r="325" spans="1:16" ht="13.15" customHeight="1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</row>
    <row r="326" spans="1:16" ht="13.15" customHeight="1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</row>
    <row r="327" spans="1:16" ht="13.15" customHeight="1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</row>
    <row r="328" spans="1:16" ht="13.15" customHeight="1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</row>
    <row r="329" spans="1:16" ht="13.15" customHeight="1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</row>
    <row r="330" spans="1:16" ht="13.15" customHeight="1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</row>
    <row r="331" spans="1:16" ht="13.15" customHeight="1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</row>
    <row r="332" spans="1:16" ht="13.15" customHeight="1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</row>
    <row r="333" spans="1:16" ht="13.15" customHeight="1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</row>
    <row r="334" spans="1:16" ht="13.15" customHeight="1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</row>
    <row r="335" spans="1:16" ht="13.15" customHeight="1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</row>
    <row r="336" spans="1:16" ht="13.15" customHeight="1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</row>
    <row r="337" spans="1:16" ht="13.15" customHeight="1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</row>
    <row r="338" spans="1:16" ht="13.15" customHeight="1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</row>
    <row r="339" spans="1:16" ht="13.15" customHeight="1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</row>
    <row r="340" spans="1:16" ht="13.15" customHeight="1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</row>
    <row r="341" spans="1:16" ht="13.15" customHeight="1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</row>
    <row r="342" spans="1:16" ht="13.15" customHeight="1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</row>
    <row r="343" spans="1:16" ht="13.15" customHeight="1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</row>
    <row r="344" spans="1:16" ht="13.15" customHeight="1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</row>
    <row r="345" spans="1:16" ht="13.15" customHeight="1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</row>
    <row r="346" spans="1:16" ht="13.15" customHeight="1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</row>
    <row r="347" spans="1:16" ht="13.15" customHeight="1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</row>
    <row r="348" spans="1:16" ht="13.15" customHeight="1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</row>
    <row r="349" spans="1:16" ht="13.15" customHeight="1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</row>
    <row r="350" spans="1:16" ht="13.15" customHeight="1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</row>
    <row r="351" spans="1:16" ht="13.15" customHeight="1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</row>
    <row r="352" spans="1:16" ht="13.15" customHeight="1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</row>
    <row r="353" spans="1:16" ht="13.15" customHeight="1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</row>
    <row r="354" spans="1:16" ht="13.15" customHeight="1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</row>
    <row r="355" spans="1:16" ht="13.15" customHeight="1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</row>
    <row r="356" spans="1:16" ht="13.15" customHeight="1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</row>
    <row r="357" spans="1:16" ht="13.15" customHeight="1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</row>
    <row r="358" spans="1:16" ht="13.15" customHeight="1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</row>
    <row r="359" spans="1:16" ht="13.15" customHeight="1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</row>
    <row r="360" spans="1:16" ht="13.15" customHeight="1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</row>
    <row r="361" spans="1:16" ht="13.15" customHeight="1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</row>
    <row r="362" spans="1:16" ht="13.15" customHeight="1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</row>
    <row r="363" spans="1:16" ht="13.15" customHeight="1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</row>
    <row r="364" spans="1:16" ht="13.15" customHeight="1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</row>
    <row r="365" spans="1:16" ht="13.15" customHeight="1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</row>
    <row r="366" spans="1:16" ht="13.15" customHeight="1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</row>
    <row r="367" spans="1:16" ht="13.15" customHeight="1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</row>
    <row r="368" spans="1:16" ht="13.15" customHeight="1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</row>
    <row r="369" spans="1:16" ht="13.15" customHeight="1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</row>
    <row r="370" spans="1:16" ht="13.15" customHeight="1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</row>
    <row r="371" spans="1:16" ht="13.15" customHeight="1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</row>
    <row r="372" spans="1:16" ht="13.15" customHeight="1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</row>
    <row r="373" spans="1:16" ht="13.15" customHeight="1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</row>
    <row r="374" spans="1:16" ht="13.15" customHeight="1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</row>
    <row r="375" spans="1:16" ht="13.15" customHeight="1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</row>
    <row r="376" spans="1:16" ht="13.15" customHeight="1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</row>
    <row r="377" spans="1:16" ht="13.15" customHeight="1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</row>
    <row r="378" spans="1:16" ht="13.15" customHeight="1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</row>
    <row r="379" spans="1:16" ht="13.15" customHeight="1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</row>
    <row r="380" spans="1:16" ht="13.15" customHeight="1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</row>
    <row r="381" spans="1:16" ht="13.15" customHeight="1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</row>
    <row r="382" spans="1:16" ht="13.15" customHeight="1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</row>
    <row r="383" spans="1:16" ht="13.15" customHeight="1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</row>
    <row r="384" spans="1:16" ht="13.15" customHeight="1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</row>
    <row r="385" spans="1:16" ht="13.15" customHeight="1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</row>
    <row r="386" spans="1:16" ht="13.15" customHeight="1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</row>
    <row r="387" spans="1:16" ht="13.15" customHeight="1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</row>
    <row r="388" spans="1:16" ht="13.15" customHeight="1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</row>
    <row r="389" spans="1:16" ht="13.15" customHeight="1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</row>
    <row r="390" spans="1:16" ht="13.15" customHeight="1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</row>
    <row r="391" spans="1:16" ht="13.15" customHeight="1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</row>
    <row r="392" spans="1:16" ht="13.15" customHeight="1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</row>
    <row r="393" spans="1:16" ht="13.15" customHeight="1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</row>
    <row r="394" spans="1:16" ht="13.15" customHeight="1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</row>
    <row r="395" spans="1:16" ht="13.15" customHeight="1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</row>
    <row r="396" spans="1:16" ht="13.15" customHeight="1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</row>
    <row r="397" spans="1:16" ht="13.15" customHeight="1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</row>
    <row r="398" spans="1:16" ht="13.15" customHeight="1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</row>
    <row r="399" spans="1:16" ht="13.15" customHeight="1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</row>
    <row r="400" spans="1:16" ht="13.15" customHeight="1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</row>
    <row r="401" spans="1:16" ht="13.15" customHeight="1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401"/>
  <sheetViews>
    <sheetView topLeftCell="A13" zoomScaleNormal="100" workbookViewId="0">
      <selection activeCell="A2" sqref="A2"/>
    </sheetView>
  </sheetViews>
  <sheetFormatPr defaultColWidth="8.81640625" defaultRowHeight="13.15" customHeight="1" x14ac:dyDescent="0.25"/>
  <cols>
    <col min="1" max="1" width="3.26953125" style="4" customWidth="1"/>
    <col min="2" max="2" width="5.453125" style="4" customWidth="1"/>
    <col min="3" max="17" width="9.54296875" style="4" customWidth="1"/>
    <col min="18" max="18" width="10.26953125" style="4" customWidth="1"/>
    <col min="19" max="16384" width="8.81640625" style="4"/>
  </cols>
  <sheetData>
    <row r="1" spans="1:25" ht="13.15" customHeight="1" x14ac:dyDescent="0.35">
      <c r="A1" s="1" t="s">
        <v>20</v>
      </c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</row>
    <row r="2" spans="1:25" ht="13.15" customHeight="1" x14ac:dyDescent="0.25">
      <c r="A2" s="5" t="s">
        <v>25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6"/>
      <c r="N2" s="6"/>
      <c r="O2" s="6"/>
      <c r="P2" s="6"/>
      <c r="Q2" s="6"/>
      <c r="R2" s="6"/>
    </row>
    <row r="3" spans="1:25" ht="13.15" customHeight="1" x14ac:dyDescent="0.3">
      <c r="A3" s="5"/>
      <c r="B3" s="5"/>
      <c r="C3" s="8"/>
      <c r="D3" s="8"/>
      <c r="E3" s="8"/>
      <c r="F3" s="8"/>
      <c r="G3" s="8"/>
      <c r="H3" s="8"/>
      <c r="I3" s="8"/>
      <c r="J3" s="8"/>
      <c r="K3" s="8"/>
      <c r="L3" s="8"/>
      <c r="M3" s="7"/>
      <c r="N3" s="7"/>
      <c r="O3" s="7"/>
      <c r="P3" s="7"/>
      <c r="Q3" s="7"/>
      <c r="R3" s="6"/>
    </row>
    <row r="4" spans="1:25" ht="13.15" customHeight="1" x14ac:dyDescent="0.3">
      <c r="A4" s="7"/>
      <c r="B4" s="8"/>
      <c r="C4" s="8"/>
      <c r="D4" s="8"/>
      <c r="E4" s="16" t="s">
        <v>13</v>
      </c>
      <c r="F4" s="8"/>
      <c r="G4" s="8"/>
      <c r="H4" s="8"/>
      <c r="I4" s="8"/>
      <c r="J4" s="8"/>
      <c r="K4" s="8"/>
      <c r="L4" s="8"/>
      <c r="M4" s="8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 ht="13.15" customHeight="1" x14ac:dyDescent="0.35">
      <c r="A5" s="7"/>
      <c r="B5" s="9"/>
      <c r="C5" s="45" t="s">
        <v>0</v>
      </c>
      <c r="D5" s="45" t="s">
        <v>1</v>
      </c>
      <c r="E5" s="25" t="s">
        <v>11</v>
      </c>
      <c r="F5" s="8"/>
      <c r="G5" s="8"/>
      <c r="H5" s="8"/>
      <c r="I5" s="8"/>
      <c r="J5" s="8"/>
      <c r="K5" s="8"/>
      <c r="L5" s="8"/>
      <c r="M5" s="8"/>
      <c r="N5" s="8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 ht="13.15" customHeight="1" x14ac:dyDescent="0.3">
      <c r="A6" s="7"/>
      <c r="B6" s="45" t="s">
        <v>0</v>
      </c>
      <c r="C6" s="10">
        <v>1</v>
      </c>
      <c r="D6" s="11">
        <v>3</v>
      </c>
      <c r="E6" s="13">
        <f t="array" ref="E6:E9">ahpmat_power(C6:D7)</f>
        <v>0.75</v>
      </c>
      <c r="F6" s="8"/>
      <c r="G6" s="8"/>
      <c r="H6" s="8"/>
      <c r="I6" s="8"/>
      <c r="J6" s="8"/>
      <c r="K6" s="8"/>
      <c r="L6" s="8"/>
      <c r="M6" s="8"/>
      <c r="N6" s="8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 ht="13.15" customHeight="1" x14ac:dyDescent="0.3">
      <c r="A7" s="7"/>
      <c r="B7" s="45" t="s">
        <v>1</v>
      </c>
      <c r="C7" s="12">
        <f>1/D6</f>
        <v>0.33333333333333331</v>
      </c>
      <c r="D7" s="10">
        <v>1</v>
      </c>
      <c r="E7" s="13">
        <v>0.25</v>
      </c>
      <c r="F7" s="8"/>
      <c r="G7" s="8"/>
      <c r="H7" s="8"/>
      <c r="I7" s="8"/>
      <c r="J7" s="8"/>
      <c r="K7" s="8"/>
      <c r="L7" s="8"/>
      <c r="M7" s="8"/>
      <c r="N7" s="8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 ht="13.15" customHeight="1" x14ac:dyDescent="0.3">
      <c r="A8" s="7"/>
      <c r="B8" s="8"/>
      <c r="C8" s="8"/>
      <c r="D8" s="42" t="s">
        <v>17</v>
      </c>
      <c r="E8" s="29">
        <v>2</v>
      </c>
      <c r="F8" s="8"/>
      <c r="G8" s="8"/>
      <c r="H8" s="8"/>
      <c r="I8" s="8"/>
      <c r="J8" s="7"/>
      <c r="K8" s="7"/>
      <c r="L8" s="8"/>
      <c r="M8" s="8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 ht="13.15" customHeight="1" x14ac:dyDescent="0.3">
      <c r="A9" s="7"/>
      <c r="B9" s="6"/>
      <c r="C9" s="7"/>
      <c r="D9" s="44" t="s">
        <v>4</v>
      </c>
      <c r="E9" s="35">
        <v>0</v>
      </c>
      <c r="F9" s="8"/>
      <c r="G9" s="8"/>
      <c r="H9" s="8"/>
      <c r="I9" s="8"/>
      <c r="J9" s="7"/>
      <c r="K9" s="8"/>
      <c r="L9" s="8"/>
      <c r="M9" s="8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 ht="13.15" customHeight="1" x14ac:dyDescent="0.3">
      <c r="A10" s="7"/>
      <c r="B10" s="8"/>
      <c r="C10" s="8"/>
      <c r="D10" s="7"/>
      <c r="E10" s="36" t="s">
        <v>2</v>
      </c>
      <c r="F10" s="36"/>
      <c r="G10" s="36"/>
      <c r="H10" s="36"/>
      <c r="I10" s="8"/>
      <c r="J10" s="8"/>
      <c r="K10" s="8"/>
      <c r="L10" s="8"/>
      <c r="M10" s="8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 ht="13.15" customHeight="1" x14ac:dyDescent="0.3">
      <c r="A11" s="7"/>
      <c r="B11" s="14"/>
      <c r="C11" s="15"/>
      <c r="D11" s="43"/>
      <c r="E11" s="8"/>
      <c r="F11" s="8"/>
      <c r="G11" s="8"/>
      <c r="H11" s="7"/>
      <c r="I11" s="8"/>
      <c r="J11" s="8"/>
      <c r="K11" s="8"/>
      <c r="L11" s="8"/>
      <c r="M11" s="8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 ht="13.15" customHeight="1" x14ac:dyDescent="0.3">
      <c r="A12" s="7"/>
      <c r="B12" s="14"/>
      <c r="C12" s="15"/>
      <c r="D12" s="43"/>
      <c r="E12" s="8"/>
      <c r="F12" s="8"/>
      <c r="G12" s="8"/>
      <c r="H12" s="7"/>
      <c r="I12" s="8"/>
      <c r="J12" s="8"/>
      <c r="K12" s="8"/>
      <c r="L12" s="8"/>
      <c r="M12" s="8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 ht="13.15" customHeight="1" x14ac:dyDescent="0.3">
      <c r="A13" s="7"/>
      <c r="B13" s="8"/>
      <c r="C13" s="8"/>
      <c r="D13" s="8"/>
      <c r="E13" s="8"/>
      <c r="F13" s="16" t="s">
        <v>13</v>
      </c>
      <c r="G13" s="8"/>
      <c r="H13" s="8"/>
      <c r="I13" s="8"/>
      <c r="J13" s="8"/>
      <c r="K13" s="8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 ht="13.15" customHeight="1" x14ac:dyDescent="0.35">
      <c r="A14" s="7"/>
      <c r="B14" s="46"/>
      <c r="C14" s="45" t="s">
        <v>0</v>
      </c>
      <c r="D14" s="45" t="s">
        <v>1</v>
      </c>
      <c r="E14" s="45" t="s">
        <v>3</v>
      </c>
      <c r="F14" s="25" t="s">
        <v>11</v>
      </c>
      <c r="G14" s="8"/>
      <c r="H14" s="8"/>
      <c r="I14" s="8"/>
      <c r="J14" s="8"/>
      <c r="K14" s="8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5" ht="13.15" customHeight="1" x14ac:dyDescent="0.3">
      <c r="A15" s="7"/>
      <c r="B15" s="45" t="s">
        <v>0</v>
      </c>
      <c r="C15" s="10">
        <v>1</v>
      </c>
      <c r="D15" s="11">
        <v>3</v>
      </c>
      <c r="E15" s="11">
        <v>5</v>
      </c>
      <c r="F15" s="27">
        <f t="array" ref="F15:F19">ahpmat_power(C15:E17)</f>
        <v>0.63698557174475712</v>
      </c>
      <c r="G15" s="8"/>
      <c r="H15" s="8"/>
      <c r="I15" s="8"/>
      <c r="J15" s="8"/>
      <c r="K15" s="8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5" ht="13.15" customHeight="1" x14ac:dyDescent="0.3">
      <c r="A16" s="7"/>
      <c r="B16" s="45" t="s">
        <v>1</v>
      </c>
      <c r="C16" s="12">
        <f>1/D15</f>
        <v>0.33333333333333331</v>
      </c>
      <c r="D16" s="10">
        <v>1</v>
      </c>
      <c r="E16" s="16">
        <v>3</v>
      </c>
      <c r="F16" s="27">
        <v>0.25828499437449504</v>
      </c>
      <c r="G16" s="8"/>
      <c r="H16" s="8"/>
      <c r="I16" s="8"/>
      <c r="J16" s="8"/>
      <c r="K16" s="8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5" ht="13.15" customHeight="1" x14ac:dyDescent="0.3">
      <c r="A17" s="7"/>
      <c r="B17" s="45" t="s">
        <v>3</v>
      </c>
      <c r="C17" s="12">
        <f>1/E15</f>
        <v>0.2</v>
      </c>
      <c r="D17" s="12">
        <f>1/E16</f>
        <v>0.33333333333333331</v>
      </c>
      <c r="E17" s="10">
        <v>1</v>
      </c>
      <c r="F17" s="27">
        <v>0.10472943388074786</v>
      </c>
      <c r="G17" s="8"/>
      <c r="H17" s="8"/>
      <c r="I17" s="8"/>
      <c r="J17" s="8"/>
      <c r="K17" s="8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5" ht="13.15" customHeight="1" x14ac:dyDescent="0.3">
      <c r="A18" s="7"/>
      <c r="B18" s="6"/>
      <c r="C18" s="7"/>
      <c r="D18" s="7"/>
      <c r="E18" s="42" t="s">
        <v>17</v>
      </c>
      <c r="F18" s="34">
        <v>3.0385110905581705</v>
      </c>
      <c r="G18" s="8"/>
      <c r="H18" s="8"/>
      <c r="I18" s="8"/>
      <c r="J18" s="8"/>
      <c r="K18" s="8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5" ht="13.15" customHeight="1" x14ac:dyDescent="0.3">
      <c r="A19" s="7"/>
      <c r="B19" s="6"/>
      <c r="C19" s="7"/>
      <c r="D19" s="7"/>
      <c r="E19" s="44" t="s">
        <v>4</v>
      </c>
      <c r="F19" s="34">
        <v>3.3199215998422828E-2</v>
      </c>
      <c r="G19" s="8"/>
      <c r="H19" s="8"/>
      <c r="I19" s="8"/>
      <c r="J19" s="8"/>
      <c r="K19" s="8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5" ht="13.15" customHeight="1" x14ac:dyDescent="0.3">
      <c r="A20" s="7"/>
      <c r="B20" s="8"/>
      <c r="C20" s="8"/>
      <c r="D20" s="8"/>
      <c r="E20" s="17"/>
      <c r="F20" s="18"/>
      <c r="G20" s="8"/>
      <c r="H20" s="8"/>
      <c r="I20" s="8"/>
      <c r="J20" s="8"/>
      <c r="K20" s="8"/>
      <c r="L20" s="8"/>
      <c r="M20" s="8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 ht="13.15" customHeight="1" x14ac:dyDescent="0.3">
      <c r="A21" s="7"/>
      <c r="B21" s="8"/>
      <c r="C21" s="8"/>
      <c r="D21" s="8"/>
      <c r="E21" s="17"/>
      <c r="F21" s="18"/>
      <c r="G21" s="8"/>
      <c r="H21" s="8"/>
      <c r="I21" s="8"/>
      <c r="J21" s="8"/>
      <c r="K21" s="8"/>
      <c r="L21" s="8"/>
      <c r="M21" s="8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 ht="13.15" customHeight="1" x14ac:dyDescent="0.3">
      <c r="A22" s="7"/>
      <c r="B22" s="8"/>
      <c r="C22" s="8"/>
      <c r="D22" s="8"/>
      <c r="E22" s="17"/>
      <c r="F22" s="18"/>
      <c r="G22" s="8"/>
      <c r="H22" s="8"/>
      <c r="I22" s="8"/>
      <c r="J22" s="8"/>
      <c r="K22" s="8"/>
      <c r="L22" s="8"/>
      <c r="M22" s="8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 ht="13.15" customHeight="1" x14ac:dyDescent="0.3">
      <c r="A23" s="7"/>
      <c r="B23" s="19"/>
      <c r="C23" s="19"/>
      <c r="D23" s="19"/>
      <c r="E23" s="19"/>
      <c r="F23" s="19"/>
      <c r="G23" s="16" t="s">
        <v>13</v>
      </c>
      <c r="H23" s="8"/>
      <c r="I23" s="8"/>
      <c r="J23" s="8"/>
      <c r="K23" s="7"/>
      <c r="L23" s="8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 ht="13.15" customHeight="1" x14ac:dyDescent="0.35">
      <c r="A24" s="7"/>
      <c r="B24" s="46"/>
      <c r="C24" s="45" t="s">
        <v>0</v>
      </c>
      <c r="D24" s="45" t="s">
        <v>1</v>
      </c>
      <c r="E24" s="45" t="s">
        <v>3</v>
      </c>
      <c r="F24" s="45" t="s">
        <v>5</v>
      </c>
      <c r="G24" s="25" t="s">
        <v>11</v>
      </c>
      <c r="H24" s="8"/>
      <c r="I24" s="8"/>
      <c r="J24" s="8"/>
      <c r="K24" s="8"/>
      <c r="L24" s="8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5" ht="13.15" customHeight="1" x14ac:dyDescent="0.3">
      <c r="A25" s="7"/>
      <c r="B25" s="45" t="s">
        <v>0</v>
      </c>
      <c r="C25" s="10">
        <v>1</v>
      </c>
      <c r="D25" s="16">
        <v>3</v>
      </c>
      <c r="E25" s="16">
        <v>5</v>
      </c>
      <c r="F25" s="16">
        <v>7</v>
      </c>
      <c r="G25" s="27">
        <f t="array" ref="G25:G30">ahpmat_power(C25:F28)</f>
        <v>0.56500905379481314</v>
      </c>
      <c r="H25" s="8"/>
      <c r="I25" s="8"/>
      <c r="J25" s="8"/>
      <c r="L25" s="8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5" ht="13.15" customHeight="1" x14ac:dyDescent="0.3">
      <c r="A26" s="7"/>
      <c r="B26" s="45" t="s">
        <v>1</v>
      </c>
      <c r="C26" s="12">
        <f>1/D25</f>
        <v>0.33333333333333331</v>
      </c>
      <c r="D26" s="10">
        <v>1</v>
      </c>
      <c r="E26" s="16">
        <v>3</v>
      </c>
      <c r="F26" s="16">
        <v>5</v>
      </c>
      <c r="G26" s="27">
        <v>0.26220120556170884</v>
      </c>
      <c r="H26" s="8"/>
      <c r="I26" s="8"/>
      <c r="J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5" ht="13.15" customHeight="1" x14ac:dyDescent="0.3">
      <c r="A27" s="7"/>
      <c r="B27" s="45" t="s">
        <v>3</v>
      </c>
      <c r="C27" s="12">
        <f>1/E25</f>
        <v>0.2</v>
      </c>
      <c r="D27" s="12">
        <f>1/E26</f>
        <v>0.33333333333333331</v>
      </c>
      <c r="E27" s="10">
        <v>1</v>
      </c>
      <c r="F27" s="16">
        <v>3</v>
      </c>
      <c r="G27" s="27">
        <v>0.11750425004394975</v>
      </c>
      <c r="H27" s="8"/>
      <c r="I27" s="8"/>
      <c r="J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5" ht="13.15" customHeight="1" x14ac:dyDescent="0.3">
      <c r="A28" s="7"/>
      <c r="B28" s="45" t="s">
        <v>5</v>
      </c>
      <c r="C28" s="12">
        <f>1/F25</f>
        <v>0.14285714285714285</v>
      </c>
      <c r="D28" s="12">
        <f>1/F26</f>
        <v>0.2</v>
      </c>
      <c r="E28" s="12">
        <f>1/F27</f>
        <v>0.33333333333333331</v>
      </c>
      <c r="F28" s="10">
        <v>1</v>
      </c>
      <c r="G28" s="27">
        <v>5.5285490599528406E-2</v>
      </c>
      <c r="H28" s="8"/>
      <c r="I28" s="8"/>
      <c r="J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5" ht="13.15" customHeight="1" x14ac:dyDescent="0.3">
      <c r="A29" s="7"/>
      <c r="B29" s="7"/>
      <c r="C29" s="7"/>
      <c r="D29" s="7"/>
      <c r="E29" s="7"/>
      <c r="F29" s="42" t="s">
        <v>17</v>
      </c>
      <c r="G29" s="31">
        <v>4.116982443447192</v>
      </c>
      <c r="H29" s="8"/>
      <c r="I29" s="8"/>
      <c r="J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 ht="13.15" customHeight="1" x14ac:dyDescent="0.3">
      <c r="A30" s="7"/>
      <c r="B30" s="7"/>
      <c r="C30" s="7"/>
      <c r="D30" s="7"/>
      <c r="E30" s="7"/>
      <c r="F30" s="44" t="s">
        <v>4</v>
      </c>
      <c r="G30" s="31">
        <v>4.3326830906367401E-2</v>
      </c>
      <c r="H30" s="8"/>
      <c r="I30" s="8"/>
      <c r="J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 ht="13.15" customHeight="1" x14ac:dyDescent="0.3">
      <c r="A31" s="7"/>
      <c r="B31" s="14"/>
      <c r="C31" s="14"/>
      <c r="D31" s="8"/>
      <c r="E31" s="8"/>
      <c r="F31" s="43"/>
      <c r="G31" s="8"/>
      <c r="H31" s="8"/>
      <c r="I31" s="8"/>
      <c r="J31" s="8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 ht="13.15" customHeight="1" x14ac:dyDescent="0.3">
      <c r="A32" s="7"/>
      <c r="B32" s="14"/>
      <c r="C32" s="14"/>
      <c r="D32" s="8"/>
      <c r="E32" s="8"/>
      <c r="F32" s="43"/>
      <c r="G32" s="8"/>
      <c r="H32" s="8"/>
      <c r="I32" s="8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ht="13.15" customHeight="1" x14ac:dyDescent="0.3">
      <c r="A33" s="7"/>
      <c r="B33" s="14"/>
      <c r="C33" s="14"/>
      <c r="D33" s="14"/>
      <c r="E33" s="8"/>
      <c r="F33" s="8"/>
      <c r="G33" s="8"/>
      <c r="H33" s="8"/>
      <c r="I33" s="8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ht="13.15" customHeight="1" x14ac:dyDescent="0.3">
      <c r="A34" s="7"/>
      <c r="B34" s="7"/>
      <c r="C34" s="7"/>
      <c r="D34" s="7"/>
      <c r="E34" s="7"/>
      <c r="F34" s="7"/>
      <c r="G34" s="7"/>
      <c r="H34" s="16" t="s">
        <v>13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ht="13.15" customHeight="1" x14ac:dyDescent="0.35">
      <c r="A35" s="7"/>
      <c r="B35" s="46"/>
      <c r="C35" s="45" t="s">
        <v>0</v>
      </c>
      <c r="D35" s="45" t="s">
        <v>1</v>
      </c>
      <c r="E35" s="45" t="s">
        <v>3</v>
      </c>
      <c r="F35" s="45" t="s">
        <v>5</v>
      </c>
      <c r="G35" s="45" t="s">
        <v>6</v>
      </c>
      <c r="H35" s="25" t="s">
        <v>11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ht="13.15" customHeight="1" x14ac:dyDescent="0.3">
      <c r="A36" s="7"/>
      <c r="B36" s="45" t="s">
        <v>0</v>
      </c>
      <c r="C36" s="10">
        <v>1</v>
      </c>
      <c r="D36" s="16">
        <v>3</v>
      </c>
      <c r="E36" s="16">
        <v>5</v>
      </c>
      <c r="F36" s="21">
        <v>7</v>
      </c>
      <c r="G36" s="21">
        <v>9</v>
      </c>
      <c r="H36" s="27">
        <f t="array" ref="H36:H42">ahpmat_power(C36:G40)</f>
        <v>0.51281281275955781</v>
      </c>
      <c r="I36" s="7"/>
      <c r="J36" s="7"/>
      <c r="K36" s="7"/>
      <c r="L36" s="8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ht="13.15" customHeight="1" x14ac:dyDescent="0.3">
      <c r="A37" s="7"/>
      <c r="B37" s="45" t="s">
        <v>1</v>
      </c>
      <c r="C37" s="12">
        <f>1/D36</f>
        <v>0.33333333333333331</v>
      </c>
      <c r="D37" s="10">
        <v>1</v>
      </c>
      <c r="E37" s="16">
        <v>3</v>
      </c>
      <c r="F37" s="21">
        <v>5</v>
      </c>
      <c r="G37" s="21">
        <v>7</v>
      </c>
      <c r="H37" s="27">
        <v>0.26149905573274984</v>
      </c>
      <c r="I37" s="7"/>
      <c r="J37" s="7"/>
      <c r="K37" s="7"/>
      <c r="L37" s="8"/>
      <c r="M37" s="8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ht="13.15" customHeight="1" x14ac:dyDescent="0.3">
      <c r="A38" s="7"/>
      <c r="B38" s="45" t="s">
        <v>3</v>
      </c>
      <c r="C38" s="12">
        <f>1/E36</f>
        <v>0.2</v>
      </c>
      <c r="D38" s="12">
        <f>1/E37</f>
        <v>0.33333333333333331</v>
      </c>
      <c r="E38" s="10">
        <v>1</v>
      </c>
      <c r="F38" s="21">
        <v>3</v>
      </c>
      <c r="G38" s="21">
        <v>5</v>
      </c>
      <c r="H38" s="27">
        <v>0.12897642313088309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ht="13.15" customHeight="1" x14ac:dyDescent="0.3">
      <c r="A39" s="7"/>
      <c r="B39" s="45" t="s">
        <v>5</v>
      </c>
      <c r="C39" s="12">
        <f>1/F36</f>
        <v>0.14285714285714285</v>
      </c>
      <c r="D39" s="12">
        <f>1/F37</f>
        <v>0.2</v>
      </c>
      <c r="E39" s="12">
        <f>1/F38</f>
        <v>0.33333333333333331</v>
      </c>
      <c r="F39" s="10">
        <v>1</v>
      </c>
      <c r="G39" s="21">
        <v>3</v>
      </c>
      <c r="H39" s="27">
        <v>6.3376527676604691E-2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ht="13.15" customHeight="1" x14ac:dyDescent="0.3">
      <c r="A40" s="7"/>
      <c r="B40" s="45" t="s">
        <v>6</v>
      </c>
      <c r="C40" s="12">
        <f>1/G36</f>
        <v>0.1111111111111111</v>
      </c>
      <c r="D40" s="12">
        <f>1/G37</f>
        <v>0.14285714285714285</v>
      </c>
      <c r="E40" s="12">
        <f>1/G38</f>
        <v>0.2</v>
      </c>
      <c r="F40" s="12">
        <f>1/G39</f>
        <v>0.33333333333333331</v>
      </c>
      <c r="G40" s="10">
        <v>1</v>
      </c>
      <c r="H40" s="27">
        <v>3.3335180700204643E-2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 ht="13.15" customHeight="1" x14ac:dyDescent="0.3">
      <c r="A41" s="7"/>
      <c r="B41" s="14"/>
      <c r="C41" s="14"/>
      <c r="D41" s="7"/>
      <c r="E41" s="7"/>
      <c r="F41" s="7"/>
      <c r="G41" s="42" t="s">
        <v>17</v>
      </c>
      <c r="H41" s="34">
        <v>5.237475251483481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 ht="13.15" customHeight="1" x14ac:dyDescent="0.3">
      <c r="A42" s="7"/>
      <c r="B42" s="14"/>
      <c r="C42" s="14"/>
      <c r="D42" s="7"/>
      <c r="E42" s="7"/>
      <c r="F42" s="7"/>
      <c r="G42" s="44" t="s">
        <v>4</v>
      </c>
      <c r="H42" s="34">
        <v>5.3007868634705579E-2</v>
      </c>
      <c r="I42" s="7"/>
      <c r="J42" s="7"/>
      <c r="K42" s="7"/>
      <c r="L42" s="20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 ht="13.15" customHeight="1" x14ac:dyDescent="0.3">
      <c r="A43" s="7"/>
      <c r="B43" s="14"/>
      <c r="C43" s="14"/>
      <c r="D43" s="14"/>
      <c r="E43" s="15"/>
      <c r="F43" s="7"/>
      <c r="G43" s="43"/>
      <c r="H43" s="24"/>
      <c r="I43" s="8"/>
      <c r="J43" s="7"/>
      <c r="K43" s="24"/>
      <c r="L43" s="20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 ht="13.15" customHeight="1" x14ac:dyDescent="0.3">
      <c r="A44" s="7"/>
      <c r="B44" s="14"/>
      <c r="C44" s="14"/>
      <c r="D44" s="14"/>
      <c r="E44" s="15"/>
      <c r="F44" s="7"/>
      <c r="G44" s="43"/>
      <c r="H44" s="24"/>
      <c r="I44" s="8"/>
      <c r="J44" s="7"/>
      <c r="K44" s="24"/>
      <c r="L44" s="20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 ht="13.15" customHeight="1" x14ac:dyDescent="0.3">
      <c r="A45" s="7"/>
      <c r="B45" s="14"/>
      <c r="C45" s="14"/>
      <c r="D45" s="14"/>
      <c r="E45" s="15"/>
      <c r="F45" s="17"/>
      <c r="G45" s="18"/>
      <c r="H45" s="7"/>
      <c r="I45" s="7"/>
      <c r="J45" s="7"/>
      <c r="K45" s="7"/>
      <c r="L45" s="7"/>
      <c r="M45" s="20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 ht="13.15" customHeight="1" x14ac:dyDescent="0.3">
      <c r="A46" s="7"/>
      <c r="B46" s="7"/>
      <c r="C46" s="7"/>
      <c r="D46" s="7"/>
      <c r="E46" s="7"/>
      <c r="F46" s="7"/>
      <c r="G46" s="7"/>
      <c r="H46" s="7"/>
      <c r="I46" s="16" t="s">
        <v>13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 ht="13.15" customHeight="1" x14ac:dyDescent="0.35">
      <c r="A47" s="7"/>
      <c r="B47" s="46"/>
      <c r="C47" s="45" t="s">
        <v>0</v>
      </c>
      <c r="D47" s="45" t="s">
        <v>1</v>
      </c>
      <c r="E47" s="45" t="s">
        <v>3</v>
      </c>
      <c r="F47" s="45" t="s">
        <v>5</v>
      </c>
      <c r="G47" s="45" t="s">
        <v>6</v>
      </c>
      <c r="H47" s="45" t="s">
        <v>7</v>
      </c>
      <c r="I47" s="25" t="s">
        <v>11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 ht="13.15" customHeight="1" x14ac:dyDescent="0.3">
      <c r="A48" s="7"/>
      <c r="B48" s="45" t="s">
        <v>0</v>
      </c>
      <c r="C48" s="10">
        <v>1</v>
      </c>
      <c r="D48" s="16">
        <v>3</v>
      </c>
      <c r="E48" s="16">
        <v>5</v>
      </c>
      <c r="F48" s="21">
        <v>6</v>
      </c>
      <c r="G48" s="21">
        <v>7</v>
      </c>
      <c r="H48" s="21">
        <v>9</v>
      </c>
      <c r="I48" s="27">
        <f t="array" ref="I48:I55">ahpmat_power(C48:H53)</f>
        <v>0.45077244103673697</v>
      </c>
      <c r="J48" s="7"/>
      <c r="K48" s="7"/>
      <c r="L48" s="7"/>
      <c r="M48" s="8"/>
      <c r="N48" s="8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 ht="13.15" customHeight="1" x14ac:dyDescent="0.3">
      <c r="A49" s="7"/>
      <c r="B49" s="45" t="s">
        <v>1</v>
      </c>
      <c r="C49" s="12">
        <f>1/D48</f>
        <v>0.33333333333333331</v>
      </c>
      <c r="D49" s="10">
        <v>1</v>
      </c>
      <c r="E49" s="16">
        <v>3</v>
      </c>
      <c r="F49" s="21">
        <v>5</v>
      </c>
      <c r="G49" s="21">
        <v>7</v>
      </c>
      <c r="H49" s="21">
        <v>8</v>
      </c>
      <c r="I49" s="27">
        <v>0.2636444819808178</v>
      </c>
      <c r="J49" s="7"/>
      <c r="K49" s="7"/>
      <c r="L49" s="7"/>
      <c r="M49" s="8"/>
      <c r="N49" s="8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 ht="13.15" customHeight="1" x14ac:dyDescent="0.3">
      <c r="A50" s="7"/>
      <c r="B50" s="45" t="s">
        <v>3</v>
      </c>
      <c r="C50" s="12">
        <f>1/E48</f>
        <v>0.2</v>
      </c>
      <c r="D50" s="12">
        <f>1/E49</f>
        <v>0.33333333333333331</v>
      </c>
      <c r="E50" s="10">
        <v>1</v>
      </c>
      <c r="F50" s="21">
        <v>3</v>
      </c>
      <c r="G50" s="21">
        <v>5</v>
      </c>
      <c r="H50" s="21">
        <v>7</v>
      </c>
      <c r="I50" s="27">
        <v>0.14305005830669174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 ht="13.15" customHeight="1" x14ac:dyDescent="0.3">
      <c r="A51" s="7"/>
      <c r="B51" s="45" t="s">
        <v>5</v>
      </c>
      <c r="C51" s="12">
        <f>1/F48</f>
        <v>0.16666666666666666</v>
      </c>
      <c r="D51" s="12">
        <f>1/F49</f>
        <v>0.2</v>
      </c>
      <c r="E51" s="12">
        <f>1/F50</f>
        <v>0.33333333333333331</v>
      </c>
      <c r="F51" s="10">
        <v>1</v>
      </c>
      <c r="G51" s="21">
        <v>3</v>
      </c>
      <c r="H51" s="21">
        <v>5</v>
      </c>
      <c r="I51" s="27">
        <v>7.671791874077373E-2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 ht="13.15" customHeight="1" x14ac:dyDescent="0.3">
      <c r="A52" s="7"/>
      <c r="B52" s="45" t="s">
        <v>6</v>
      </c>
      <c r="C52" s="22">
        <f>1/G48</f>
        <v>0.14285714285714285</v>
      </c>
      <c r="D52" s="22">
        <f>1/G49</f>
        <v>0.14285714285714285</v>
      </c>
      <c r="E52" s="22">
        <f>1/G50</f>
        <v>0.2</v>
      </c>
      <c r="F52" s="22">
        <f>1/G51</f>
        <v>0.33333333333333331</v>
      </c>
      <c r="G52" s="23">
        <v>1</v>
      </c>
      <c r="H52" s="21">
        <v>3</v>
      </c>
      <c r="I52" s="27">
        <v>4.1650763949513385E-2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 ht="13.15" customHeight="1" x14ac:dyDescent="0.3">
      <c r="A53" s="7"/>
      <c r="B53" s="45" t="s">
        <v>7</v>
      </c>
      <c r="C53" s="12">
        <f>1/H48</f>
        <v>0.1111111111111111</v>
      </c>
      <c r="D53" s="12">
        <f>1/H49</f>
        <v>0.125</v>
      </c>
      <c r="E53" s="12">
        <f>1/H50</f>
        <v>0.14285714285714285</v>
      </c>
      <c r="F53" s="12">
        <f>1/H51</f>
        <v>0.2</v>
      </c>
      <c r="G53" s="12">
        <f>1/H52</f>
        <v>0.33333333333333331</v>
      </c>
      <c r="H53" s="10">
        <v>1</v>
      </c>
      <c r="I53" s="27">
        <v>2.4164335985466353E-2</v>
      </c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 ht="13.15" customHeight="1" x14ac:dyDescent="0.3">
      <c r="A54" s="7"/>
      <c r="B54" s="14"/>
      <c r="C54" s="14"/>
      <c r="D54" s="7"/>
      <c r="E54" s="7"/>
      <c r="F54" s="7"/>
      <c r="G54" s="7"/>
      <c r="H54" s="42" t="s">
        <v>17</v>
      </c>
      <c r="I54" s="34">
        <v>6.4917412779939978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 ht="13.15" customHeight="1" x14ac:dyDescent="0.3">
      <c r="A55" s="7"/>
      <c r="B55" s="14"/>
      <c r="C55" s="14"/>
      <c r="D55" s="7"/>
      <c r="E55" s="7"/>
      <c r="F55" s="7"/>
      <c r="G55" s="7"/>
      <c r="H55" s="44" t="s">
        <v>4</v>
      </c>
      <c r="I55" s="34">
        <v>7.931310935387062E-2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 ht="13.15" customHeight="1" x14ac:dyDescent="0.3">
      <c r="A56" s="7"/>
      <c r="B56" s="14"/>
      <c r="C56" s="14"/>
      <c r="D56" s="7"/>
      <c r="E56" s="7"/>
      <c r="F56" s="7"/>
      <c r="G56" s="7"/>
      <c r="H56" s="43"/>
      <c r="I56" s="24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 ht="13.15" customHeight="1" x14ac:dyDescent="0.3">
      <c r="A57" s="7"/>
      <c r="B57" s="14"/>
      <c r="C57" s="14"/>
      <c r="D57" s="7"/>
      <c r="E57" s="7"/>
      <c r="F57" s="7"/>
      <c r="G57" s="7"/>
      <c r="H57" s="43"/>
      <c r="I57" s="24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 ht="13.15" customHeight="1" x14ac:dyDescent="0.3">
      <c r="A58" s="7"/>
      <c r="B58" s="14"/>
      <c r="C58" s="14"/>
      <c r="D58" s="14"/>
      <c r="E58" s="15"/>
      <c r="F58" s="17"/>
      <c r="G58" s="17"/>
      <c r="H58" s="18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 ht="13.15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16" t="s">
        <v>13</v>
      </c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 ht="13.15" customHeight="1" x14ac:dyDescent="0.35">
      <c r="A60" s="7"/>
      <c r="B60" s="46"/>
      <c r="C60" s="45" t="s">
        <v>0</v>
      </c>
      <c r="D60" s="45" t="s">
        <v>1</v>
      </c>
      <c r="E60" s="45" t="s">
        <v>3</v>
      </c>
      <c r="F60" s="45" t="s">
        <v>5</v>
      </c>
      <c r="G60" s="45" t="s">
        <v>6</v>
      </c>
      <c r="H60" s="45" t="s">
        <v>7</v>
      </c>
      <c r="I60" s="45" t="s">
        <v>8</v>
      </c>
      <c r="J60" s="25" t="s">
        <v>11</v>
      </c>
      <c r="K60" s="7"/>
      <c r="L60" s="7"/>
      <c r="M60" s="7"/>
      <c r="N60" s="7"/>
      <c r="O60" s="8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 ht="13.15" customHeight="1" x14ac:dyDescent="0.3">
      <c r="A61" s="7"/>
      <c r="B61" s="45" t="s">
        <v>0</v>
      </c>
      <c r="C61" s="10">
        <v>1</v>
      </c>
      <c r="D61" s="16">
        <v>3</v>
      </c>
      <c r="E61" s="16">
        <v>4</v>
      </c>
      <c r="F61" s="21">
        <v>6</v>
      </c>
      <c r="G61" s="21">
        <v>7</v>
      </c>
      <c r="H61" s="21">
        <v>8</v>
      </c>
      <c r="I61" s="21">
        <v>9</v>
      </c>
      <c r="J61" s="27">
        <f t="array" ref="J61:J69">ahpmat_power(C61:I67)</f>
        <v>0.40447853335493961</v>
      </c>
      <c r="K61" s="7"/>
      <c r="L61" s="7"/>
      <c r="M61" s="7"/>
      <c r="N61" s="8"/>
      <c r="O61" s="8"/>
      <c r="P61" s="7"/>
      <c r="Q61" s="7"/>
      <c r="R61" s="6"/>
      <c r="S61" s="7"/>
      <c r="T61" s="7"/>
      <c r="U61" s="7"/>
      <c r="V61" s="7"/>
      <c r="W61" s="7"/>
      <c r="X61" s="7"/>
      <c r="Y61" s="7"/>
    </row>
    <row r="62" spans="1:25" ht="13.15" customHeight="1" x14ac:dyDescent="0.3">
      <c r="A62" s="7"/>
      <c r="B62" s="45" t="s">
        <v>1</v>
      </c>
      <c r="C62" s="12">
        <f>1/D61</f>
        <v>0.33333333333333331</v>
      </c>
      <c r="D62" s="10">
        <v>1</v>
      </c>
      <c r="E62" s="16">
        <v>2</v>
      </c>
      <c r="F62" s="21">
        <v>5</v>
      </c>
      <c r="G62" s="21">
        <v>6</v>
      </c>
      <c r="H62" s="21">
        <v>7</v>
      </c>
      <c r="I62" s="21">
        <v>8</v>
      </c>
      <c r="J62" s="27">
        <v>0.23973183977221255</v>
      </c>
      <c r="K62" s="7"/>
      <c r="L62" s="7"/>
      <c r="M62" s="7"/>
      <c r="N62" s="8"/>
      <c r="O62" s="8"/>
      <c r="P62" s="7"/>
      <c r="Q62" s="7"/>
      <c r="R62" s="6"/>
      <c r="S62" s="7"/>
      <c r="T62" s="7"/>
      <c r="U62" s="7"/>
      <c r="V62" s="7"/>
      <c r="W62" s="7"/>
      <c r="X62" s="7"/>
      <c r="Y62" s="7"/>
    </row>
    <row r="63" spans="1:25" ht="13.15" customHeight="1" x14ac:dyDescent="0.3">
      <c r="A63" s="7"/>
      <c r="B63" s="45" t="s">
        <v>3</v>
      </c>
      <c r="C63" s="12">
        <f>1/E61</f>
        <v>0.25</v>
      </c>
      <c r="D63" s="12">
        <f>1/E62</f>
        <v>0.5</v>
      </c>
      <c r="E63" s="10">
        <v>1</v>
      </c>
      <c r="F63" s="21">
        <v>3</v>
      </c>
      <c r="G63" s="21">
        <v>5</v>
      </c>
      <c r="H63" s="21">
        <v>6</v>
      </c>
      <c r="I63" s="21">
        <v>7</v>
      </c>
      <c r="J63" s="27">
        <v>0.16175601776369433</v>
      </c>
      <c r="K63" s="7"/>
      <c r="L63" s="7"/>
      <c r="M63" s="7"/>
      <c r="N63" s="7"/>
      <c r="O63" s="7"/>
      <c r="P63" s="7"/>
      <c r="Q63" s="7"/>
      <c r="R63" s="6"/>
      <c r="S63" s="7"/>
      <c r="T63" s="7"/>
      <c r="U63" s="7"/>
      <c r="V63" s="7"/>
      <c r="W63" s="7"/>
      <c r="X63" s="7"/>
      <c r="Y63" s="7"/>
    </row>
    <row r="64" spans="1:25" ht="13.15" customHeight="1" x14ac:dyDescent="0.3">
      <c r="A64" s="7"/>
      <c r="B64" s="45" t="s">
        <v>5</v>
      </c>
      <c r="C64" s="12">
        <f>1/F61</f>
        <v>0.16666666666666666</v>
      </c>
      <c r="D64" s="12">
        <f>1/F62</f>
        <v>0.2</v>
      </c>
      <c r="E64" s="12">
        <f>1/F63</f>
        <v>0.33333333333333331</v>
      </c>
      <c r="F64" s="10">
        <v>1</v>
      </c>
      <c r="G64" s="21">
        <v>3</v>
      </c>
      <c r="H64" s="21">
        <v>5</v>
      </c>
      <c r="I64" s="21">
        <v>6</v>
      </c>
      <c r="J64" s="27">
        <v>9.0158199808901218E-2</v>
      </c>
      <c r="K64" s="7"/>
      <c r="L64" s="7"/>
      <c r="M64" s="7"/>
      <c r="N64" s="7"/>
      <c r="O64" s="7"/>
      <c r="P64" s="7"/>
      <c r="Q64" s="7"/>
      <c r="R64" s="6"/>
      <c r="S64" s="7"/>
      <c r="T64" s="7"/>
      <c r="U64" s="7"/>
      <c r="V64" s="7"/>
      <c r="W64" s="7"/>
      <c r="X64" s="7"/>
      <c r="Y64" s="7"/>
    </row>
    <row r="65" spans="1:25" ht="13.15" customHeight="1" x14ac:dyDescent="0.3">
      <c r="A65" s="7"/>
      <c r="B65" s="45" t="s">
        <v>6</v>
      </c>
      <c r="C65" s="22">
        <f>1/G61</f>
        <v>0.14285714285714285</v>
      </c>
      <c r="D65" s="22">
        <f>1/G62</f>
        <v>0.16666666666666666</v>
      </c>
      <c r="E65" s="22">
        <f>1/G63</f>
        <v>0.2</v>
      </c>
      <c r="F65" s="22">
        <f>1/G64</f>
        <v>0.33333333333333331</v>
      </c>
      <c r="G65" s="23">
        <v>1</v>
      </c>
      <c r="H65" s="21">
        <v>3</v>
      </c>
      <c r="I65" s="21">
        <v>5</v>
      </c>
      <c r="J65" s="27">
        <v>5.2827495961197547E-2</v>
      </c>
      <c r="K65" s="7"/>
      <c r="L65" s="7"/>
      <c r="M65" s="7"/>
      <c r="N65" s="7"/>
      <c r="O65" s="7"/>
      <c r="P65" s="7"/>
      <c r="Q65" s="7"/>
      <c r="R65" s="6"/>
      <c r="S65" s="7"/>
      <c r="T65" s="7"/>
      <c r="U65" s="7"/>
      <c r="V65" s="7"/>
      <c r="W65" s="7"/>
      <c r="X65" s="7"/>
      <c r="Y65" s="7"/>
    </row>
    <row r="66" spans="1:25" ht="13.15" customHeight="1" x14ac:dyDescent="0.3">
      <c r="A66" s="7"/>
      <c r="B66" s="45" t="s">
        <v>7</v>
      </c>
      <c r="C66" s="12">
        <f>1/H61</f>
        <v>0.125</v>
      </c>
      <c r="D66" s="12">
        <f>1/H62</f>
        <v>0.14285714285714285</v>
      </c>
      <c r="E66" s="12">
        <f>1/H63</f>
        <v>0.16666666666666666</v>
      </c>
      <c r="F66" s="12">
        <f>1/H64</f>
        <v>0.2</v>
      </c>
      <c r="G66" s="12">
        <f>1/H65</f>
        <v>0.33333333333333331</v>
      </c>
      <c r="H66" s="10">
        <v>1</v>
      </c>
      <c r="I66" s="16">
        <v>3</v>
      </c>
      <c r="J66" s="27">
        <v>3.1021297152593896E-2</v>
      </c>
      <c r="K66" s="7"/>
      <c r="L66" s="7"/>
      <c r="M66" s="7"/>
      <c r="N66" s="7"/>
      <c r="O66" s="7"/>
      <c r="P66" s="7"/>
      <c r="Q66" s="7"/>
      <c r="R66" s="6"/>
      <c r="S66" s="7"/>
      <c r="T66" s="7"/>
      <c r="U66" s="7"/>
      <c r="V66" s="7"/>
      <c r="W66" s="7"/>
      <c r="X66" s="7"/>
      <c r="Y66" s="7"/>
    </row>
    <row r="67" spans="1:25" ht="13.15" customHeight="1" x14ac:dyDescent="0.3">
      <c r="A67" s="7"/>
      <c r="B67" s="45" t="s">
        <v>8</v>
      </c>
      <c r="C67" s="12">
        <f>1/I61</f>
        <v>0.1111111111111111</v>
      </c>
      <c r="D67" s="12">
        <f>1/I62</f>
        <v>0.125</v>
      </c>
      <c r="E67" s="12">
        <f>1/I63</f>
        <v>0.14285714285714285</v>
      </c>
      <c r="F67" s="12">
        <f>1/I64</f>
        <v>0.16666666666666666</v>
      </c>
      <c r="G67" s="12">
        <f>1/I65</f>
        <v>0.2</v>
      </c>
      <c r="H67" s="12">
        <f>1/I66</f>
        <v>0.33333333333333331</v>
      </c>
      <c r="I67" s="10">
        <v>1</v>
      </c>
      <c r="J67" s="27">
        <v>2.0026616186460913E-2</v>
      </c>
      <c r="K67" s="7"/>
      <c r="L67" s="7"/>
      <c r="M67" s="7"/>
      <c r="N67" s="7"/>
      <c r="O67" s="7"/>
      <c r="P67" s="7"/>
      <c r="Q67" s="7"/>
      <c r="R67" s="6"/>
      <c r="S67" s="7"/>
      <c r="T67" s="7"/>
      <c r="U67" s="7"/>
      <c r="V67" s="7"/>
      <c r="W67" s="7"/>
      <c r="X67" s="7"/>
      <c r="Y67" s="7"/>
    </row>
    <row r="68" spans="1:25" ht="13.15" customHeight="1" x14ac:dyDescent="0.3">
      <c r="A68" s="7"/>
      <c r="B68" s="14"/>
      <c r="C68" s="14"/>
      <c r="D68" s="14"/>
      <c r="E68" s="7"/>
      <c r="F68" s="7"/>
      <c r="G68" s="7"/>
      <c r="H68" s="7"/>
      <c r="I68" s="42" t="s">
        <v>17</v>
      </c>
      <c r="J68" s="34">
        <v>7.688540826212602</v>
      </c>
      <c r="K68" s="7"/>
      <c r="L68" s="7"/>
      <c r="M68" s="7"/>
      <c r="N68" s="7"/>
      <c r="O68" s="7"/>
      <c r="P68" s="7"/>
      <c r="Q68" s="7"/>
      <c r="R68" s="6"/>
      <c r="S68" s="7"/>
      <c r="T68" s="7"/>
      <c r="U68" s="7"/>
      <c r="V68" s="7"/>
      <c r="W68" s="7"/>
      <c r="X68" s="7"/>
      <c r="Y68" s="7"/>
    </row>
    <row r="69" spans="1:25" ht="13.15" customHeight="1" x14ac:dyDescent="0.3">
      <c r="A69" s="7"/>
      <c r="B69" s="14"/>
      <c r="C69" s="14"/>
      <c r="D69" s="14"/>
      <c r="E69" s="7"/>
      <c r="F69" s="7"/>
      <c r="G69" s="7"/>
      <c r="H69" s="7"/>
      <c r="I69" s="44" t="s">
        <v>4</v>
      </c>
      <c r="J69" s="34">
        <v>8.6936973006641674E-2</v>
      </c>
      <c r="K69" s="7"/>
      <c r="L69" s="7"/>
      <c r="M69" s="7"/>
      <c r="N69" s="7"/>
      <c r="O69" s="7"/>
      <c r="P69" s="7"/>
      <c r="Q69" s="7"/>
      <c r="R69" s="6"/>
      <c r="S69" s="7"/>
      <c r="T69" s="7"/>
      <c r="U69" s="7"/>
      <c r="V69" s="7"/>
      <c r="W69" s="7"/>
      <c r="X69" s="7"/>
      <c r="Y69" s="7"/>
    </row>
    <row r="70" spans="1:25" ht="13.15" customHeight="1" x14ac:dyDescent="0.3">
      <c r="A70" s="7"/>
      <c r="B70" s="14"/>
      <c r="C70" s="14"/>
      <c r="D70" s="14"/>
      <c r="E70" s="15"/>
      <c r="F70" s="17"/>
      <c r="G70" s="17"/>
      <c r="H70" s="17"/>
      <c r="I70" s="18"/>
      <c r="J70" s="7"/>
      <c r="K70" s="8"/>
      <c r="L70" s="8"/>
      <c r="M70" s="8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</row>
    <row r="71" spans="1:25" ht="13.15" customHeight="1" x14ac:dyDescent="0.3">
      <c r="A71" s="7"/>
      <c r="B71" s="14"/>
      <c r="C71" s="14"/>
      <c r="D71" s="14"/>
      <c r="E71" s="15"/>
      <c r="F71" s="17"/>
      <c r="G71" s="17"/>
      <c r="H71" s="17"/>
      <c r="I71" s="18"/>
      <c r="J71" s="7"/>
      <c r="K71" s="8"/>
      <c r="L71" s="8"/>
      <c r="M71" s="8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</row>
    <row r="72" spans="1:25" ht="13.15" customHeight="1" x14ac:dyDescent="0.3">
      <c r="A72" s="7"/>
      <c r="B72" s="14"/>
      <c r="C72" s="14"/>
      <c r="D72" s="14"/>
      <c r="E72" s="15"/>
      <c r="F72" s="17"/>
      <c r="G72" s="17"/>
      <c r="H72" s="17"/>
      <c r="I72" s="18"/>
      <c r="J72" s="7"/>
      <c r="K72" s="8"/>
      <c r="L72" s="8"/>
      <c r="M72" s="8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</row>
    <row r="73" spans="1:25" ht="13.15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16" t="s">
        <v>13</v>
      </c>
      <c r="L73" s="8"/>
      <c r="M73" s="8"/>
      <c r="N73" s="8"/>
      <c r="O73" s="8"/>
      <c r="P73" s="7"/>
      <c r="Q73" s="7"/>
      <c r="R73" s="7"/>
      <c r="S73" s="7"/>
      <c r="T73" s="7"/>
      <c r="U73" s="7"/>
      <c r="V73" s="7"/>
      <c r="W73" s="7"/>
      <c r="X73" s="7"/>
      <c r="Y73" s="7"/>
    </row>
    <row r="74" spans="1:25" ht="13.15" customHeight="1" x14ac:dyDescent="0.35">
      <c r="A74" s="7"/>
      <c r="B74" s="46"/>
      <c r="C74" s="45" t="s">
        <v>0</v>
      </c>
      <c r="D74" s="45" t="s">
        <v>1</v>
      </c>
      <c r="E74" s="45" t="s">
        <v>3</v>
      </c>
      <c r="F74" s="45" t="s">
        <v>5</v>
      </c>
      <c r="G74" s="45" t="s">
        <v>6</v>
      </c>
      <c r="H74" s="45" t="s">
        <v>7</v>
      </c>
      <c r="I74" s="45" t="s">
        <v>8</v>
      </c>
      <c r="J74" s="45" t="s">
        <v>9</v>
      </c>
      <c r="K74" s="25" t="s">
        <v>11</v>
      </c>
      <c r="L74" s="8"/>
      <c r="M74" s="8"/>
      <c r="N74" s="8"/>
      <c r="O74" s="8"/>
      <c r="P74" s="7"/>
      <c r="Q74" s="7"/>
      <c r="R74" s="6"/>
      <c r="T74" s="7"/>
      <c r="U74" s="7"/>
      <c r="V74" s="7"/>
      <c r="W74" s="7"/>
      <c r="X74" s="7"/>
      <c r="Y74" s="7"/>
    </row>
    <row r="75" spans="1:25" ht="13.15" customHeight="1" x14ac:dyDescent="0.3">
      <c r="A75" s="7"/>
      <c r="B75" s="45" t="s">
        <v>0</v>
      </c>
      <c r="C75" s="10">
        <v>1</v>
      </c>
      <c r="D75" s="16">
        <v>3</v>
      </c>
      <c r="E75" s="16">
        <v>4</v>
      </c>
      <c r="F75" s="21">
        <v>5</v>
      </c>
      <c r="G75" s="21">
        <v>6</v>
      </c>
      <c r="H75" s="21">
        <v>7</v>
      </c>
      <c r="I75" s="21">
        <v>8</v>
      </c>
      <c r="J75" s="21">
        <v>9</v>
      </c>
      <c r="K75" s="27">
        <f t="array" ref="K75:K84">ahpmat_power(C75:J82)</f>
        <v>0.36899540555805788</v>
      </c>
      <c r="L75" s="8"/>
      <c r="M75" s="8"/>
      <c r="N75" s="8"/>
      <c r="O75" s="8"/>
      <c r="P75" s="8"/>
      <c r="Q75" s="7"/>
      <c r="R75" s="6"/>
      <c r="T75" s="7"/>
      <c r="U75" s="7"/>
      <c r="V75" s="7"/>
      <c r="W75" s="7"/>
      <c r="X75" s="7"/>
      <c r="Y75" s="7"/>
    </row>
    <row r="76" spans="1:25" ht="13.15" customHeight="1" x14ac:dyDescent="0.3">
      <c r="A76" s="7"/>
      <c r="B76" s="45" t="s">
        <v>1</v>
      </c>
      <c r="C76" s="12">
        <f>1/D75</f>
        <v>0.33333333333333331</v>
      </c>
      <c r="D76" s="10">
        <v>1</v>
      </c>
      <c r="E76" s="16">
        <v>2</v>
      </c>
      <c r="F76" s="21">
        <v>3</v>
      </c>
      <c r="G76" s="21">
        <v>5</v>
      </c>
      <c r="H76" s="21">
        <v>6</v>
      </c>
      <c r="I76" s="21">
        <v>7</v>
      </c>
      <c r="J76" s="21">
        <v>8</v>
      </c>
      <c r="K76" s="27">
        <v>0.21413633467296456</v>
      </c>
      <c r="L76" s="8"/>
      <c r="M76" s="8"/>
      <c r="N76" s="8"/>
      <c r="O76" s="8"/>
      <c r="P76" s="8"/>
      <c r="Q76" s="7"/>
      <c r="R76" s="6"/>
      <c r="T76" s="7"/>
      <c r="U76" s="7"/>
      <c r="V76" s="7"/>
      <c r="W76" s="7"/>
      <c r="X76" s="7"/>
      <c r="Y76" s="7"/>
    </row>
    <row r="77" spans="1:25" ht="13.15" customHeight="1" x14ac:dyDescent="0.3">
      <c r="A77" s="7"/>
      <c r="B77" s="45" t="s">
        <v>3</v>
      </c>
      <c r="C77" s="12">
        <f>1/E75</f>
        <v>0.25</v>
      </c>
      <c r="D77" s="12">
        <f>1/E76</f>
        <v>0.5</v>
      </c>
      <c r="E77" s="10">
        <v>1</v>
      </c>
      <c r="F77" s="21">
        <v>3</v>
      </c>
      <c r="G77" s="21">
        <v>4</v>
      </c>
      <c r="H77" s="21">
        <v>5</v>
      </c>
      <c r="I77" s="21">
        <v>6</v>
      </c>
      <c r="J77" s="21">
        <v>7</v>
      </c>
      <c r="K77" s="27">
        <v>0.1626231968583145</v>
      </c>
      <c r="L77" s="8"/>
      <c r="M77" s="8"/>
      <c r="N77" s="8"/>
      <c r="O77" s="8"/>
      <c r="P77" s="8"/>
      <c r="Q77" s="7"/>
      <c r="R77" s="6"/>
      <c r="T77" s="7"/>
      <c r="U77" s="7"/>
      <c r="V77" s="7"/>
      <c r="W77" s="7"/>
      <c r="X77" s="7"/>
      <c r="Y77" s="7"/>
    </row>
    <row r="78" spans="1:25" ht="13.15" customHeight="1" x14ac:dyDescent="0.3">
      <c r="A78" s="7"/>
      <c r="B78" s="45" t="s">
        <v>5</v>
      </c>
      <c r="C78" s="12">
        <f>1/F75</f>
        <v>0.2</v>
      </c>
      <c r="D78" s="12">
        <f>1/F76</f>
        <v>0.33333333333333331</v>
      </c>
      <c r="E78" s="12">
        <f>1/F77</f>
        <v>0.33333333333333331</v>
      </c>
      <c r="F78" s="10">
        <v>1</v>
      </c>
      <c r="G78" s="21">
        <v>3</v>
      </c>
      <c r="H78" s="21">
        <v>4</v>
      </c>
      <c r="I78" s="21">
        <v>5</v>
      </c>
      <c r="J78" s="21">
        <v>6</v>
      </c>
      <c r="K78" s="27">
        <v>0.10327455982396559</v>
      </c>
      <c r="L78" s="8"/>
      <c r="M78" s="8"/>
      <c r="N78" s="8"/>
      <c r="O78" s="8"/>
      <c r="P78" s="7"/>
      <c r="Q78" s="7"/>
      <c r="R78" s="6"/>
      <c r="T78" s="7"/>
      <c r="U78" s="7"/>
      <c r="V78" s="7"/>
      <c r="W78" s="7"/>
      <c r="X78" s="7"/>
      <c r="Y78" s="7"/>
    </row>
    <row r="79" spans="1:25" ht="13.15" customHeight="1" x14ac:dyDescent="0.3">
      <c r="A79" s="7"/>
      <c r="B79" s="45" t="s">
        <v>6</v>
      </c>
      <c r="C79" s="22">
        <f>1/G75</f>
        <v>0.16666666666666666</v>
      </c>
      <c r="D79" s="22">
        <f>1/G76</f>
        <v>0.2</v>
      </c>
      <c r="E79" s="22">
        <f>1/G77</f>
        <v>0.25</v>
      </c>
      <c r="F79" s="22">
        <f>1/G78</f>
        <v>0.33333333333333331</v>
      </c>
      <c r="G79" s="23">
        <v>1</v>
      </c>
      <c r="H79" s="21">
        <v>3</v>
      </c>
      <c r="I79" s="21">
        <v>4</v>
      </c>
      <c r="J79" s="21">
        <v>5</v>
      </c>
      <c r="K79" s="27">
        <v>6.4608507771718768E-2</v>
      </c>
      <c r="L79" s="8"/>
      <c r="M79" s="8"/>
      <c r="N79" s="8"/>
      <c r="O79" s="8"/>
      <c r="P79" s="7"/>
      <c r="Q79" s="7"/>
      <c r="R79" s="6"/>
      <c r="T79" s="7"/>
      <c r="U79" s="7"/>
      <c r="V79" s="7"/>
      <c r="W79" s="7"/>
      <c r="X79" s="7"/>
      <c r="Y79" s="7"/>
    </row>
    <row r="80" spans="1:25" ht="13.15" customHeight="1" x14ac:dyDescent="0.3">
      <c r="A80" s="7"/>
      <c r="B80" s="45" t="s">
        <v>7</v>
      </c>
      <c r="C80" s="12">
        <f>1/H75</f>
        <v>0.14285714285714285</v>
      </c>
      <c r="D80" s="12">
        <f>1/H76</f>
        <v>0.16666666666666666</v>
      </c>
      <c r="E80" s="12">
        <f>1/H77</f>
        <v>0.2</v>
      </c>
      <c r="F80" s="12">
        <f>1/H78</f>
        <v>0.25</v>
      </c>
      <c r="G80" s="12">
        <f>1/H79</f>
        <v>0.33333333333333331</v>
      </c>
      <c r="H80" s="10">
        <v>1</v>
      </c>
      <c r="I80" s="16">
        <v>3</v>
      </c>
      <c r="J80" s="21">
        <v>4</v>
      </c>
      <c r="K80" s="27">
        <v>4.138789320363976E-2</v>
      </c>
      <c r="L80" s="8"/>
      <c r="M80" s="8"/>
      <c r="N80" s="8"/>
      <c r="O80" s="8"/>
      <c r="P80" s="7"/>
      <c r="Q80" s="7"/>
      <c r="R80" s="6"/>
      <c r="T80" s="7"/>
      <c r="U80" s="7"/>
      <c r="V80" s="7"/>
      <c r="W80" s="7"/>
      <c r="X80" s="7"/>
      <c r="Y80" s="7"/>
    </row>
    <row r="81" spans="1:25" ht="13.15" customHeight="1" x14ac:dyDescent="0.3">
      <c r="A81" s="7"/>
      <c r="B81" s="45" t="s">
        <v>8</v>
      </c>
      <c r="C81" s="12">
        <f>1/I75</f>
        <v>0.125</v>
      </c>
      <c r="D81" s="12">
        <f>1/I76</f>
        <v>0.14285714285714285</v>
      </c>
      <c r="E81" s="12">
        <f>1/I77</f>
        <v>0.16666666666666666</v>
      </c>
      <c r="F81" s="12">
        <f>1/I78</f>
        <v>0.2</v>
      </c>
      <c r="G81" s="12">
        <f>1/I79</f>
        <v>0.25</v>
      </c>
      <c r="H81" s="12">
        <f>1/I80</f>
        <v>0.33333333333333331</v>
      </c>
      <c r="I81" s="10">
        <v>1</v>
      </c>
      <c r="J81" s="16">
        <v>3</v>
      </c>
      <c r="K81" s="27">
        <v>2.6883167977844614E-2</v>
      </c>
      <c r="L81" s="8"/>
      <c r="M81" s="8"/>
      <c r="N81" s="8"/>
      <c r="O81" s="8"/>
      <c r="P81" s="7"/>
      <c r="Q81" s="7"/>
      <c r="R81" s="6"/>
      <c r="T81" s="7"/>
      <c r="U81" s="7"/>
      <c r="V81" s="7"/>
      <c r="W81" s="7"/>
      <c r="X81" s="7"/>
      <c r="Y81" s="7"/>
    </row>
    <row r="82" spans="1:25" ht="13.15" customHeight="1" x14ac:dyDescent="0.3">
      <c r="A82" s="7"/>
      <c r="B82" s="45" t="s">
        <v>9</v>
      </c>
      <c r="C82" s="12">
        <f>1/J75</f>
        <v>0.1111111111111111</v>
      </c>
      <c r="D82" s="12">
        <f>1/J76</f>
        <v>0.125</v>
      </c>
      <c r="E82" s="12">
        <f>1/J77</f>
        <v>0.14285714285714285</v>
      </c>
      <c r="F82" s="12">
        <f>1/J78</f>
        <v>0.16666666666666666</v>
      </c>
      <c r="G82" s="12">
        <f>1/J79</f>
        <v>0.2</v>
      </c>
      <c r="H82" s="12">
        <f>1/J80</f>
        <v>0.25</v>
      </c>
      <c r="I82" s="12">
        <f>1/J81</f>
        <v>0.33333333333333331</v>
      </c>
      <c r="J82" s="10">
        <v>1</v>
      </c>
      <c r="K82" s="27">
        <v>1.8090934133494482E-2</v>
      </c>
      <c r="L82" s="8"/>
      <c r="M82" s="8"/>
      <c r="N82" s="8"/>
      <c r="O82" s="8"/>
      <c r="P82" s="7"/>
      <c r="Q82" s="7"/>
      <c r="R82" s="6"/>
      <c r="T82" s="7"/>
      <c r="U82" s="7"/>
      <c r="V82" s="7"/>
      <c r="W82" s="7"/>
      <c r="X82" s="7"/>
      <c r="Y82" s="7"/>
    </row>
    <row r="83" spans="1:25" ht="13.15" customHeight="1" x14ac:dyDescent="0.3">
      <c r="A83" s="7"/>
      <c r="B83" s="14"/>
      <c r="C83" s="14"/>
      <c r="D83" s="14"/>
      <c r="E83" s="15"/>
      <c r="F83" s="17"/>
      <c r="G83" s="7"/>
      <c r="H83" s="7"/>
      <c r="I83" s="7"/>
      <c r="J83" s="42" t="s">
        <v>17</v>
      </c>
      <c r="K83" s="34">
        <v>8.7630360637267088</v>
      </c>
      <c r="L83" s="8"/>
      <c r="M83" s="8"/>
      <c r="N83" s="8"/>
      <c r="O83" s="8"/>
      <c r="P83" s="7"/>
      <c r="Q83" s="7"/>
      <c r="R83" s="6"/>
      <c r="T83" s="7"/>
      <c r="U83" s="7"/>
      <c r="V83" s="7"/>
      <c r="W83" s="7"/>
      <c r="X83" s="7"/>
      <c r="Y83" s="7"/>
    </row>
    <row r="84" spans="1:25" ht="13.15" customHeight="1" x14ac:dyDescent="0.3">
      <c r="A84" s="7"/>
      <c r="B84" s="14"/>
      <c r="C84" s="14"/>
      <c r="D84" s="14"/>
      <c r="E84" s="15"/>
      <c r="F84" s="17"/>
      <c r="G84" s="7"/>
      <c r="H84" s="7"/>
      <c r="I84" s="7"/>
      <c r="J84" s="44" t="s">
        <v>4</v>
      </c>
      <c r="K84" s="34">
        <v>7.7308618412027241E-2</v>
      </c>
      <c r="L84" s="8"/>
      <c r="M84" s="8"/>
      <c r="N84" s="8"/>
      <c r="O84" s="8"/>
      <c r="P84" s="7"/>
      <c r="Q84" s="7"/>
      <c r="R84" s="6"/>
      <c r="T84" s="7"/>
      <c r="U84" s="7"/>
      <c r="V84" s="7"/>
      <c r="W84" s="7"/>
      <c r="X84" s="7"/>
      <c r="Y84" s="7"/>
    </row>
    <row r="85" spans="1:25" ht="13.15" customHeight="1" x14ac:dyDescent="0.3">
      <c r="A85" s="7"/>
      <c r="B85" s="14"/>
      <c r="C85" s="14"/>
      <c r="D85" s="14"/>
      <c r="E85" s="15"/>
      <c r="F85" s="17"/>
      <c r="G85" s="17"/>
      <c r="H85" s="17"/>
      <c r="I85" s="17"/>
      <c r="J85" s="18"/>
      <c r="K85" s="7"/>
      <c r="L85" s="8"/>
      <c r="M85" s="8"/>
      <c r="N85" s="8"/>
      <c r="O85" s="8"/>
      <c r="P85" s="7"/>
      <c r="Q85" s="7"/>
      <c r="R85" s="7"/>
      <c r="S85" s="7"/>
      <c r="T85" s="7"/>
      <c r="U85" s="7"/>
      <c r="V85" s="7"/>
      <c r="W85" s="7"/>
      <c r="X85" s="7"/>
      <c r="Y85" s="7"/>
    </row>
    <row r="86" spans="1:25" ht="13.15" customHeight="1" x14ac:dyDescent="0.3">
      <c r="A86" s="7"/>
      <c r="B86" s="14"/>
      <c r="C86" s="14"/>
      <c r="D86" s="14"/>
      <c r="E86" s="15"/>
      <c r="F86" s="17"/>
      <c r="G86" s="17"/>
      <c r="H86" s="17"/>
      <c r="I86" s="17"/>
      <c r="J86" s="18"/>
      <c r="K86" s="7"/>
      <c r="L86" s="7"/>
      <c r="M86" s="7"/>
      <c r="N86" s="8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</row>
    <row r="87" spans="1:25" ht="13.15" customHeight="1" x14ac:dyDescent="0.3">
      <c r="A87" s="7"/>
      <c r="B87" s="14"/>
      <c r="C87" s="14"/>
      <c r="D87" s="14"/>
      <c r="E87" s="15"/>
      <c r="F87" s="17"/>
      <c r="G87" s="17"/>
      <c r="H87" s="17"/>
      <c r="I87" s="17"/>
      <c r="J87" s="18"/>
      <c r="K87" s="7"/>
      <c r="L87" s="8"/>
      <c r="M87" s="8"/>
      <c r="N87" s="8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</row>
    <row r="88" spans="1:25" ht="13.15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16" t="s">
        <v>13</v>
      </c>
      <c r="M88" s="8"/>
      <c r="N88" s="8"/>
      <c r="O88" s="8"/>
      <c r="P88" s="7"/>
      <c r="Q88" s="7"/>
      <c r="R88" s="7"/>
      <c r="S88" s="7"/>
      <c r="T88" s="7"/>
      <c r="U88" s="7"/>
      <c r="V88" s="7"/>
      <c r="W88" s="7"/>
      <c r="X88" s="7"/>
      <c r="Y88" s="7"/>
    </row>
    <row r="89" spans="1:25" ht="13.15" customHeight="1" x14ac:dyDescent="0.35">
      <c r="A89" s="7"/>
      <c r="B89" s="46"/>
      <c r="C89" s="45" t="s">
        <v>0</v>
      </c>
      <c r="D89" s="45" t="s">
        <v>1</v>
      </c>
      <c r="E89" s="45" t="s">
        <v>3</v>
      </c>
      <c r="F89" s="45" t="s">
        <v>5</v>
      </c>
      <c r="G89" s="45" t="s">
        <v>6</v>
      </c>
      <c r="H89" s="45" t="s">
        <v>7</v>
      </c>
      <c r="I89" s="45" t="s">
        <v>8</v>
      </c>
      <c r="J89" s="45" t="s">
        <v>9</v>
      </c>
      <c r="K89" s="45" t="s">
        <v>10</v>
      </c>
      <c r="L89" s="25" t="s">
        <v>11</v>
      </c>
      <c r="M89" s="8"/>
      <c r="N89" s="8"/>
      <c r="O89" s="8"/>
      <c r="P89" s="8"/>
      <c r="Q89" s="7"/>
      <c r="R89" s="6"/>
      <c r="U89" s="7"/>
      <c r="V89" s="7"/>
      <c r="W89" s="7"/>
      <c r="X89" s="7"/>
      <c r="Y89" s="7"/>
    </row>
    <row r="90" spans="1:25" ht="13.15" customHeight="1" x14ac:dyDescent="0.3">
      <c r="A90" s="7"/>
      <c r="B90" s="45" t="s">
        <v>0</v>
      </c>
      <c r="C90" s="10">
        <v>1</v>
      </c>
      <c r="D90" s="16">
        <v>2</v>
      </c>
      <c r="E90" s="16">
        <v>3</v>
      </c>
      <c r="F90" s="21">
        <v>4</v>
      </c>
      <c r="G90" s="21">
        <v>5</v>
      </c>
      <c r="H90" s="21">
        <v>6</v>
      </c>
      <c r="I90" s="21">
        <v>7</v>
      </c>
      <c r="J90" s="21">
        <v>8</v>
      </c>
      <c r="K90" s="21">
        <v>9</v>
      </c>
      <c r="L90" s="27">
        <f t="array" ref="L90:L100">ahpmat_power(C90:K98)</f>
        <v>0.31211039829081061</v>
      </c>
      <c r="M90" s="8"/>
      <c r="N90" s="8"/>
      <c r="O90" s="8"/>
      <c r="P90" s="7"/>
      <c r="Q90" s="8"/>
      <c r="R90" s="6"/>
      <c r="U90" s="7"/>
      <c r="V90" s="7"/>
      <c r="W90" s="7"/>
      <c r="X90" s="7"/>
      <c r="Y90" s="7"/>
    </row>
    <row r="91" spans="1:25" ht="13.15" customHeight="1" x14ac:dyDescent="0.3">
      <c r="A91" s="7"/>
      <c r="B91" s="45" t="s">
        <v>1</v>
      </c>
      <c r="C91" s="12">
        <f>1/D90</f>
        <v>0.5</v>
      </c>
      <c r="D91" s="10">
        <v>1</v>
      </c>
      <c r="E91" s="16">
        <v>2</v>
      </c>
      <c r="F91" s="21">
        <v>3</v>
      </c>
      <c r="G91" s="21">
        <v>4</v>
      </c>
      <c r="H91" s="21">
        <v>5</v>
      </c>
      <c r="I91" s="21">
        <v>6</v>
      </c>
      <c r="J91" s="21">
        <v>7</v>
      </c>
      <c r="K91" s="21">
        <v>8</v>
      </c>
      <c r="L91" s="27">
        <v>0.22234235096293323</v>
      </c>
      <c r="M91" s="8"/>
      <c r="N91" s="8"/>
      <c r="O91" s="8"/>
      <c r="P91" s="8"/>
      <c r="Q91" s="8"/>
      <c r="R91" s="6"/>
      <c r="U91" s="7"/>
      <c r="V91" s="7"/>
      <c r="W91" s="7"/>
      <c r="X91" s="7"/>
      <c r="Y91" s="7"/>
    </row>
    <row r="92" spans="1:25" ht="13.15" customHeight="1" x14ac:dyDescent="0.3">
      <c r="A92" s="7"/>
      <c r="B92" s="45" t="s">
        <v>3</v>
      </c>
      <c r="C92" s="12">
        <f>1/E90</f>
        <v>0.33333333333333331</v>
      </c>
      <c r="D92" s="12">
        <f>1/E91</f>
        <v>0.5</v>
      </c>
      <c r="E92" s="10">
        <v>1</v>
      </c>
      <c r="F92" s="21">
        <v>2</v>
      </c>
      <c r="G92" s="21">
        <v>3</v>
      </c>
      <c r="H92" s="21">
        <v>4</v>
      </c>
      <c r="I92" s="21">
        <v>5</v>
      </c>
      <c r="J92" s="21">
        <v>6</v>
      </c>
      <c r="K92" s="21">
        <v>7</v>
      </c>
      <c r="L92" s="27">
        <v>0.15546537382993703</v>
      </c>
      <c r="M92" s="8"/>
      <c r="N92" s="8"/>
      <c r="O92" s="8"/>
      <c r="P92" s="8"/>
      <c r="Q92" s="8"/>
      <c r="R92" s="6"/>
      <c r="U92" s="7"/>
      <c r="V92" s="7"/>
      <c r="W92" s="7"/>
      <c r="X92" s="7"/>
      <c r="Y92" s="7"/>
    </row>
    <row r="93" spans="1:25" ht="13.15" customHeight="1" x14ac:dyDescent="0.3">
      <c r="A93" s="7"/>
      <c r="B93" s="45" t="s">
        <v>5</v>
      </c>
      <c r="C93" s="12">
        <f>1/F90</f>
        <v>0.25</v>
      </c>
      <c r="D93" s="12">
        <f>1/F91</f>
        <v>0.33333333333333331</v>
      </c>
      <c r="E93" s="12">
        <f>1/F92</f>
        <v>0.5</v>
      </c>
      <c r="F93" s="10">
        <v>1</v>
      </c>
      <c r="G93" s="21">
        <v>2</v>
      </c>
      <c r="H93" s="21">
        <v>3</v>
      </c>
      <c r="I93" s="21">
        <v>4</v>
      </c>
      <c r="J93" s="21">
        <v>5</v>
      </c>
      <c r="K93" s="21">
        <v>6</v>
      </c>
      <c r="L93" s="27">
        <v>0.10750644222032725</v>
      </c>
      <c r="M93" s="8"/>
      <c r="N93" s="8"/>
      <c r="O93" s="8"/>
      <c r="P93" s="8"/>
      <c r="Q93" s="7"/>
      <c r="R93" s="6"/>
      <c r="U93" s="7"/>
      <c r="V93" s="7"/>
      <c r="W93" s="7"/>
      <c r="X93" s="7"/>
      <c r="Y93" s="7"/>
    </row>
    <row r="94" spans="1:25" ht="13.15" customHeight="1" x14ac:dyDescent="0.3">
      <c r="A94" s="7"/>
      <c r="B94" s="45" t="s">
        <v>6</v>
      </c>
      <c r="C94" s="22">
        <f>1/G90</f>
        <v>0.2</v>
      </c>
      <c r="D94" s="22">
        <f>1/G91</f>
        <v>0.25</v>
      </c>
      <c r="E94" s="22">
        <f>1/G92</f>
        <v>0.33333333333333331</v>
      </c>
      <c r="F94" s="22">
        <f>1/G93</f>
        <v>0.5</v>
      </c>
      <c r="G94" s="23">
        <v>1</v>
      </c>
      <c r="H94" s="21">
        <v>2</v>
      </c>
      <c r="I94" s="21">
        <v>3</v>
      </c>
      <c r="J94" s="21">
        <v>4</v>
      </c>
      <c r="K94" s="21">
        <v>5</v>
      </c>
      <c r="L94" s="27">
        <v>7.3854667452103825E-2</v>
      </c>
      <c r="M94" s="8"/>
      <c r="N94" s="8"/>
      <c r="O94" s="8"/>
      <c r="P94" s="8"/>
      <c r="Q94" s="7"/>
      <c r="R94" s="6"/>
      <c r="U94" s="7"/>
      <c r="V94" s="7"/>
      <c r="W94" s="7"/>
      <c r="X94" s="7"/>
      <c r="Y94" s="7"/>
    </row>
    <row r="95" spans="1:25" ht="13.15" customHeight="1" x14ac:dyDescent="0.3">
      <c r="A95" s="7"/>
      <c r="B95" s="45" t="s">
        <v>7</v>
      </c>
      <c r="C95" s="12">
        <f>1/H90</f>
        <v>0.16666666666666666</v>
      </c>
      <c r="D95" s="12">
        <f>1/H91</f>
        <v>0.2</v>
      </c>
      <c r="E95" s="12">
        <f>1/H92</f>
        <v>0.25</v>
      </c>
      <c r="F95" s="12">
        <f>1/H93</f>
        <v>0.33333333333333331</v>
      </c>
      <c r="G95" s="12">
        <f>1/H94</f>
        <v>0.5</v>
      </c>
      <c r="H95" s="10">
        <v>1</v>
      </c>
      <c r="I95" s="16">
        <v>2</v>
      </c>
      <c r="J95" s="21">
        <v>3</v>
      </c>
      <c r="K95" s="21">
        <v>4</v>
      </c>
      <c r="L95" s="27">
        <v>5.0662140716750848E-2</v>
      </c>
      <c r="M95" s="8"/>
      <c r="N95" s="8"/>
      <c r="O95" s="8"/>
      <c r="P95" s="8"/>
      <c r="Q95" s="7"/>
      <c r="R95" s="6"/>
      <c r="U95" s="7"/>
      <c r="V95" s="7"/>
      <c r="W95" s="7"/>
      <c r="X95" s="7"/>
      <c r="Y95" s="7"/>
    </row>
    <row r="96" spans="1:25" ht="13.15" customHeight="1" x14ac:dyDescent="0.3">
      <c r="A96" s="7"/>
      <c r="B96" s="45" t="s">
        <v>8</v>
      </c>
      <c r="C96" s="12">
        <f>1/I90</f>
        <v>0.14285714285714285</v>
      </c>
      <c r="D96" s="12">
        <f>1/I91</f>
        <v>0.16666666666666666</v>
      </c>
      <c r="E96" s="12">
        <f>1/I92</f>
        <v>0.2</v>
      </c>
      <c r="F96" s="12">
        <f>1/I93</f>
        <v>0.25</v>
      </c>
      <c r="G96" s="12">
        <f>1/I94</f>
        <v>0.33333333333333331</v>
      </c>
      <c r="H96" s="12">
        <f>1/I95</f>
        <v>0.5</v>
      </c>
      <c r="I96" s="10">
        <v>1</v>
      </c>
      <c r="J96" s="16">
        <v>2</v>
      </c>
      <c r="K96" s="16">
        <v>3</v>
      </c>
      <c r="L96" s="27">
        <v>3.4997064311866603E-2</v>
      </c>
      <c r="M96" s="8"/>
      <c r="N96" s="8"/>
      <c r="O96" s="8"/>
      <c r="P96" s="8"/>
      <c r="Q96" s="7"/>
      <c r="R96" s="6"/>
      <c r="U96" s="7"/>
      <c r="V96" s="7"/>
      <c r="W96" s="7"/>
      <c r="X96" s="7"/>
      <c r="Y96" s="7"/>
    </row>
    <row r="97" spans="1:25" ht="13.15" customHeight="1" x14ac:dyDescent="0.3">
      <c r="A97" s="7"/>
      <c r="B97" s="45" t="s">
        <v>9</v>
      </c>
      <c r="C97" s="12">
        <f>1/J90</f>
        <v>0.125</v>
      </c>
      <c r="D97" s="12">
        <f>1/J91</f>
        <v>0.14285714285714285</v>
      </c>
      <c r="E97" s="12">
        <f>1/J92</f>
        <v>0.16666666666666666</v>
      </c>
      <c r="F97" s="12">
        <f>1/J93</f>
        <v>0.2</v>
      </c>
      <c r="G97" s="12">
        <f>1/J94</f>
        <v>0.25</v>
      </c>
      <c r="H97" s="12">
        <f>1/J95</f>
        <v>0.33333333333333331</v>
      </c>
      <c r="I97" s="12">
        <f>1/J96</f>
        <v>0.5</v>
      </c>
      <c r="J97" s="10">
        <v>1</v>
      </c>
      <c r="K97" s="16">
        <v>2</v>
      </c>
      <c r="L97" s="27">
        <v>2.4723789451640367E-2</v>
      </c>
      <c r="M97" s="8"/>
      <c r="N97" s="8"/>
      <c r="O97" s="8"/>
      <c r="P97" s="8"/>
      <c r="Q97" s="7"/>
      <c r="R97" s="6"/>
      <c r="U97" s="7"/>
      <c r="V97" s="7"/>
      <c r="W97" s="7"/>
      <c r="X97" s="7"/>
      <c r="Y97" s="7"/>
    </row>
    <row r="98" spans="1:25" ht="13.15" customHeight="1" x14ac:dyDescent="0.3">
      <c r="A98" s="7"/>
      <c r="B98" s="45" t="s">
        <v>10</v>
      </c>
      <c r="C98" s="12">
        <f>1/K90</f>
        <v>0.1111111111111111</v>
      </c>
      <c r="D98" s="12">
        <f>1/K91</f>
        <v>0.125</v>
      </c>
      <c r="E98" s="12">
        <f>1/K92</f>
        <v>0.14285714285714285</v>
      </c>
      <c r="F98" s="12">
        <f>1/K93</f>
        <v>0.16666666666666666</v>
      </c>
      <c r="G98" s="12">
        <f>1/K94</f>
        <v>0.2</v>
      </c>
      <c r="H98" s="12">
        <f>1/K95</f>
        <v>0.25</v>
      </c>
      <c r="I98" s="12">
        <f>1/K96</f>
        <v>0.33333333333333331</v>
      </c>
      <c r="J98" s="12">
        <f>1/K97</f>
        <v>0.5</v>
      </c>
      <c r="K98" s="10">
        <v>1</v>
      </c>
      <c r="L98" s="27">
        <v>1.8337772763630383E-2</v>
      </c>
      <c r="M98" s="8"/>
      <c r="N98" s="8"/>
      <c r="O98" s="8"/>
      <c r="P98" s="8"/>
      <c r="Q98" s="7"/>
      <c r="R98" s="6"/>
      <c r="U98" s="7"/>
      <c r="V98" s="7"/>
      <c r="W98" s="7"/>
      <c r="X98" s="7"/>
      <c r="Y98" s="7"/>
    </row>
    <row r="99" spans="1:25" ht="13.15" customHeight="1" x14ac:dyDescent="0.3">
      <c r="A99" s="7"/>
      <c r="B99" s="14"/>
      <c r="C99" s="14"/>
      <c r="D99" s="14"/>
      <c r="E99" s="15"/>
      <c r="F99" s="17"/>
      <c r="G99" s="17"/>
      <c r="H99" s="17"/>
      <c r="I99" s="17"/>
      <c r="J99" s="7"/>
      <c r="K99" s="42" t="s">
        <v>17</v>
      </c>
      <c r="L99" s="34">
        <v>9.4013942140396161</v>
      </c>
      <c r="M99" s="8"/>
      <c r="N99" s="8"/>
      <c r="O99" s="8"/>
      <c r="P99" s="8"/>
      <c r="Q99" s="7"/>
      <c r="R99" s="6"/>
      <c r="U99" s="7"/>
      <c r="V99" s="7"/>
      <c r="W99" s="7"/>
      <c r="X99" s="7"/>
      <c r="Y99" s="7"/>
    </row>
    <row r="100" spans="1:25" ht="13.15" customHeight="1" x14ac:dyDescent="0.3">
      <c r="A100" s="7"/>
      <c r="B100" s="14"/>
      <c r="C100" s="14"/>
      <c r="D100" s="14"/>
      <c r="E100" s="15"/>
      <c r="F100" s="17"/>
      <c r="G100" s="17"/>
      <c r="H100" s="17"/>
      <c r="I100" s="17"/>
      <c r="J100" s="17"/>
      <c r="K100" s="44" t="s">
        <v>4</v>
      </c>
      <c r="L100" s="34">
        <v>3.4602949486173797E-2</v>
      </c>
      <c r="M100" s="8"/>
      <c r="N100" s="8"/>
      <c r="O100" s="8"/>
      <c r="P100" s="7"/>
      <c r="Q100" s="7"/>
      <c r="R100" s="6"/>
      <c r="U100" s="7"/>
      <c r="V100" s="7"/>
      <c r="W100" s="7"/>
      <c r="X100" s="7"/>
      <c r="Y100" s="7"/>
    </row>
    <row r="101" spans="1:25" ht="13.15" customHeight="1" x14ac:dyDescent="0.3">
      <c r="A101" s="7"/>
      <c r="B101" s="14"/>
      <c r="C101" s="14"/>
      <c r="D101" s="14"/>
      <c r="E101" s="15"/>
      <c r="F101" s="17"/>
      <c r="G101" s="17"/>
      <c r="H101" s="17"/>
      <c r="I101" s="17"/>
      <c r="J101" s="7"/>
      <c r="K101" s="7"/>
      <c r="L101" s="7"/>
      <c r="M101" s="18"/>
      <c r="N101" s="7"/>
      <c r="O101" s="8"/>
      <c r="P101" s="7"/>
      <c r="Q101" s="7"/>
      <c r="R101" s="7"/>
      <c r="S101" s="7"/>
      <c r="T101" s="7"/>
      <c r="U101" s="7"/>
      <c r="V101" s="7"/>
      <c r="W101" s="7"/>
      <c r="X101" s="7"/>
      <c r="Y101" s="7"/>
    </row>
    <row r="102" spans="1:25" ht="13.15" customHeight="1" x14ac:dyDescent="0.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</row>
    <row r="103" spans="1:25" ht="13.15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</row>
    <row r="104" spans="1:25" ht="13.15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</row>
    <row r="105" spans="1:25" ht="13.15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</row>
    <row r="106" spans="1:25" ht="13.15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</row>
    <row r="107" spans="1:25" ht="13.15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</row>
    <row r="108" spans="1:25" ht="13.15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</row>
    <row r="109" spans="1:25" ht="13.15" customHeight="1" x14ac:dyDescent="0.3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6"/>
    </row>
    <row r="110" spans="1:25" ht="13.15" customHeight="1" x14ac:dyDescent="0.3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</row>
    <row r="111" spans="1:25" ht="13.15" customHeight="1" x14ac:dyDescent="0.3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</row>
    <row r="112" spans="1:25" ht="13.15" customHeight="1" x14ac:dyDescent="0.3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</row>
    <row r="113" spans="1:17" ht="13.15" customHeight="1" x14ac:dyDescent="0.3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</row>
    <row r="114" spans="1:17" ht="13.15" customHeight="1" x14ac:dyDescent="0.3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</row>
    <row r="115" spans="1:17" ht="13.15" customHeight="1" x14ac:dyDescent="0.3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</row>
    <row r="116" spans="1:17" ht="13.15" customHeight="1" x14ac:dyDescent="0.3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</row>
    <row r="117" spans="1:17" ht="13.15" customHeight="1" x14ac:dyDescent="0.3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</row>
    <row r="118" spans="1:17" ht="13.15" customHeight="1" x14ac:dyDescent="0.3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</row>
    <row r="119" spans="1:17" ht="13.1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</row>
    <row r="120" spans="1:17" ht="13.1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</row>
    <row r="121" spans="1:17" ht="13.1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17" ht="13.1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7" ht="13.1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</row>
    <row r="124" spans="1:17" ht="13.1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</row>
    <row r="125" spans="1:17" ht="13.1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</row>
    <row r="126" spans="1:17" ht="13.1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17" ht="13.1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</row>
    <row r="128" spans="1:17" ht="13.1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</row>
    <row r="129" spans="1:16" ht="13.1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</row>
    <row r="130" spans="1:16" ht="13.1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</row>
    <row r="131" spans="1:16" ht="13.1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</row>
    <row r="132" spans="1:16" ht="13.1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</row>
    <row r="133" spans="1:16" ht="13.1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</row>
    <row r="134" spans="1:16" ht="13.1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</row>
    <row r="135" spans="1:16" ht="13.1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</row>
    <row r="136" spans="1:16" ht="13.1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</row>
    <row r="137" spans="1:16" ht="13.1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</row>
    <row r="138" spans="1:16" ht="13.1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</row>
    <row r="139" spans="1:16" ht="13.1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</row>
    <row r="140" spans="1:16" ht="13.1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</row>
    <row r="141" spans="1:16" ht="13.1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</row>
    <row r="142" spans="1:16" ht="13.1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</row>
    <row r="143" spans="1:16" ht="13.1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</row>
    <row r="144" spans="1:16" ht="13.1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</row>
    <row r="145" spans="1:16" ht="13.1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</row>
    <row r="146" spans="1:16" ht="13.1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</row>
    <row r="147" spans="1:16" ht="13.1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</row>
    <row r="148" spans="1:16" ht="13.1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</row>
    <row r="149" spans="1:16" ht="13.1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</row>
    <row r="150" spans="1:16" ht="13.1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</row>
    <row r="151" spans="1:16" ht="13.1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</row>
    <row r="152" spans="1:16" ht="13.1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</row>
    <row r="153" spans="1:16" ht="13.1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</row>
    <row r="154" spans="1:16" ht="13.1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</row>
    <row r="155" spans="1:16" ht="13.1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</row>
    <row r="156" spans="1:16" ht="13.1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</row>
    <row r="157" spans="1:16" ht="13.1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</row>
    <row r="158" spans="1:16" ht="13.1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</row>
    <row r="159" spans="1:16" ht="13.1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</row>
    <row r="160" spans="1:16" ht="13.1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</row>
    <row r="161" spans="1:16" ht="13.1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</row>
    <row r="162" spans="1:16" ht="13.1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</row>
    <row r="163" spans="1:16" ht="13.1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</row>
    <row r="164" spans="1:16" ht="13.1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</row>
    <row r="165" spans="1:16" ht="13.1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</row>
    <row r="166" spans="1:16" ht="13.1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</row>
    <row r="167" spans="1:16" ht="13.1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</row>
    <row r="168" spans="1:16" ht="13.1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</row>
    <row r="169" spans="1:16" ht="13.1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</row>
    <row r="170" spans="1:16" ht="13.1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</row>
    <row r="171" spans="1:16" ht="13.1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</row>
    <row r="172" spans="1:16" ht="13.1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</row>
    <row r="173" spans="1:16" ht="13.1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</row>
    <row r="174" spans="1:16" ht="13.1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</row>
    <row r="175" spans="1:16" ht="13.1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</row>
    <row r="176" spans="1:16" ht="13.1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</row>
    <row r="177" spans="1:16" ht="13.1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</row>
    <row r="178" spans="1:16" ht="13.1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</row>
    <row r="179" spans="1:16" ht="13.1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</row>
    <row r="180" spans="1:16" ht="13.1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</row>
    <row r="181" spans="1:16" ht="13.1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</row>
    <row r="182" spans="1:16" ht="13.1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</row>
    <row r="183" spans="1:16" ht="13.1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</row>
    <row r="184" spans="1:16" ht="13.1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</row>
    <row r="185" spans="1:16" ht="13.1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</row>
    <row r="186" spans="1:16" ht="13.1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</row>
    <row r="187" spans="1:16" ht="13.1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</row>
    <row r="188" spans="1:16" ht="13.1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</row>
    <row r="189" spans="1:16" ht="13.1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</row>
    <row r="190" spans="1:16" ht="13.1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</row>
    <row r="191" spans="1:16" ht="13.1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</row>
    <row r="192" spans="1:16" ht="13.1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</row>
    <row r="193" spans="1:16" ht="13.1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</row>
    <row r="194" spans="1:16" ht="13.1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</row>
    <row r="195" spans="1:16" ht="13.1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</row>
    <row r="196" spans="1:16" ht="13.1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</row>
    <row r="197" spans="1:16" ht="13.1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</row>
    <row r="198" spans="1:16" ht="13.1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</row>
    <row r="199" spans="1:16" ht="13.1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</row>
    <row r="200" spans="1:16" ht="13.1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</row>
    <row r="201" spans="1:16" ht="13.1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</row>
    <row r="202" spans="1:16" ht="13.1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</row>
    <row r="203" spans="1:16" ht="13.1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</row>
    <row r="204" spans="1:16" ht="13.1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</row>
    <row r="205" spans="1:16" ht="13.1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</row>
    <row r="206" spans="1:16" ht="13.1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</row>
    <row r="207" spans="1:16" ht="13.1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</row>
    <row r="208" spans="1:16" ht="13.1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</row>
    <row r="209" spans="1:16" ht="13.1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</row>
    <row r="210" spans="1:16" ht="13.1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</row>
    <row r="211" spans="1:16" ht="13.1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</row>
    <row r="212" spans="1:16" ht="13.1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</row>
    <row r="213" spans="1:16" ht="13.1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</row>
    <row r="214" spans="1:16" ht="13.1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</row>
    <row r="215" spans="1:16" ht="13.1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</row>
    <row r="216" spans="1:16" ht="13.1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</row>
    <row r="217" spans="1:16" ht="13.1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</row>
    <row r="218" spans="1:16" ht="13.1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</row>
    <row r="219" spans="1:16" ht="13.1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</row>
    <row r="220" spans="1:16" ht="13.1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</row>
    <row r="221" spans="1:16" ht="13.1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</row>
    <row r="222" spans="1:16" ht="13.1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</row>
    <row r="223" spans="1:16" ht="13.1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</row>
    <row r="224" spans="1:16" ht="13.1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</row>
    <row r="225" spans="1:16" ht="13.1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</row>
    <row r="226" spans="1:16" ht="13.1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</row>
    <row r="227" spans="1:16" ht="13.1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</row>
    <row r="228" spans="1:16" ht="13.1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</row>
    <row r="229" spans="1:16" ht="13.1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</row>
    <row r="230" spans="1:16" ht="13.1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</row>
    <row r="231" spans="1:16" ht="13.1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</row>
    <row r="232" spans="1:16" ht="13.1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</row>
    <row r="233" spans="1:16" ht="13.1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</row>
    <row r="234" spans="1:16" ht="13.1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</row>
    <row r="235" spans="1:16" ht="13.1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</row>
    <row r="236" spans="1:16" ht="13.1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</row>
    <row r="237" spans="1:16" ht="13.1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</row>
    <row r="238" spans="1:16" ht="13.1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</row>
    <row r="239" spans="1:16" ht="13.1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</row>
    <row r="240" spans="1:16" ht="13.1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</row>
    <row r="241" spans="1:16" ht="13.1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</row>
    <row r="242" spans="1:16" ht="13.1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</row>
    <row r="243" spans="1:16" ht="13.1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</row>
    <row r="244" spans="1:16" ht="13.1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</row>
    <row r="245" spans="1:16" ht="13.1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</row>
    <row r="246" spans="1:16" ht="13.1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</row>
    <row r="247" spans="1:16" ht="13.1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</row>
    <row r="248" spans="1:16" ht="13.1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</row>
    <row r="249" spans="1:16" ht="13.1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</row>
    <row r="250" spans="1:16" ht="13.15" customHeight="1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</row>
    <row r="251" spans="1:16" ht="13.15" customHeight="1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</row>
    <row r="252" spans="1:16" ht="13.15" customHeight="1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</row>
    <row r="253" spans="1:16" ht="13.15" customHeight="1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</row>
    <row r="254" spans="1:16" ht="13.15" customHeight="1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</row>
    <row r="255" spans="1:16" ht="13.15" customHeight="1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</row>
    <row r="256" spans="1:16" ht="13.15" customHeight="1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</row>
    <row r="257" spans="1:16" ht="13.15" customHeight="1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</row>
    <row r="258" spans="1:16" ht="13.15" customHeight="1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</row>
    <row r="259" spans="1:16" ht="13.15" customHeight="1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</row>
    <row r="260" spans="1:16" ht="13.15" customHeight="1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</row>
    <row r="261" spans="1:16" ht="13.15" customHeight="1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</row>
    <row r="262" spans="1:16" ht="13.15" customHeight="1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</row>
    <row r="263" spans="1:16" ht="13.15" customHeight="1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</row>
    <row r="264" spans="1:16" ht="13.15" customHeight="1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</row>
    <row r="265" spans="1:16" ht="13.15" customHeight="1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</row>
    <row r="266" spans="1:16" ht="13.15" customHeight="1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</row>
    <row r="267" spans="1:16" ht="13.15" customHeight="1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</row>
    <row r="268" spans="1:16" ht="13.15" customHeight="1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</row>
    <row r="269" spans="1:16" ht="13.15" customHeight="1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</row>
    <row r="270" spans="1:16" ht="13.15" customHeight="1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</row>
    <row r="271" spans="1:16" ht="13.15" customHeight="1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</row>
    <row r="272" spans="1:16" ht="13.15" customHeight="1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</row>
    <row r="273" spans="1:16" ht="13.15" customHeight="1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</row>
    <row r="274" spans="1:16" ht="13.15" customHeight="1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</row>
    <row r="275" spans="1:16" ht="13.15" customHeight="1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</row>
    <row r="276" spans="1:16" ht="13.15" customHeight="1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</row>
    <row r="277" spans="1:16" ht="13.15" customHeight="1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</row>
    <row r="278" spans="1:16" ht="13.15" customHeight="1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</row>
    <row r="279" spans="1:16" ht="13.15" customHeight="1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</row>
    <row r="280" spans="1:16" ht="13.15" customHeight="1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</row>
    <row r="281" spans="1:16" ht="13.15" customHeight="1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</row>
    <row r="282" spans="1:16" ht="13.15" customHeight="1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</row>
    <row r="283" spans="1:16" ht="13.15" customHeight="1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</row>
    <row r="284" spans="1:16" ht="13.15" customHeight="1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</row>
    <row r="285" spans="1:16" ht="13.15" customHeight="1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</row>
    <row r="286" spans="1:16" ht="13.15" customHeight="1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</row>
    <row r="287" spans="1:16" ht="13.15" customHeight="1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</row>
    <row r="288" spans="1:16" ht="13.15" customHeight="1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</row>
    <row r="289" spans="1:16" ht="13.15" customHeight="1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</row>
    <row r="290" spans="1:16" ht="13.15" customHeight="1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</row>
    <row r="291" spans="1:16" ht="13.15" customHeight="1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</row>
    <row r="292" spans="1:16" ht="13.15" customHeight="1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</row>
    <row r="293" spans="1:16" ht="13.15" customHeight="1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</row>
    <row r="294" spans="1:16" ht="13.15" customHeight="1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</row>
    <row r="295" spans="1:16" ht="13.15" customHeight="1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</row>
    <row r="296" spans="1:16" ht="13.15" customHeight="1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</row>
    <row r="297" spans="1:16" ht="13.15" customHeight="1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</row>
    <row r="298" spans="1:16" ht="13.15" customHeight="1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</row>
    <row r="299" spans="1:16" ht="13.15" customHeight="1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</row>
    <row r="300" spans="1:16" ht="13.15" customHeight="1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</row>
    <row r="301" spans="1:16" ht="13.15" customHeight="1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</row>
    <row r="302" spans="1:16" ht="13.15" customHeight="1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</row>
    <row r="303" spans="1:16" ht="13.15" customHeight="1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</row>
    <row r="304" spans="1:16" ht="13.15" customHeight="1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</row>
    <row r="305" spans="1:16" ht="13.15" customHeight="1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</row>
    <row r="306" spans="1:16" ht="13.15" customHeight="1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</row>
    <row r="307" spans="1:16" ht="13.15" customHeight="1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</row>
    <row r="308" spans="1:16" ht="13.15" customHeight="1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</row>
    <row r="309" spans="1:16" ht="13.15" customHeight="1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</row>
    <row r="310" spans="1:16" ht="13.15" customHeight="1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</row>
    <row r="311" spans="1:16" ht="13.15" customHeight="1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</row>
    <row r="312" spans="1:16" ht="13.15" customHeight="1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</row>
    <row r="313" spans="1:16" ht="13.15" customHeight="1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</row>
    <row r="314" spans="1:16" ht="13.15" customHeight="1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</row>
    <row r="315" spans="1:16" ht="13.15" customHeight="1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</row>
    <row r="316" spans="1:16" ht="13.15" customHeight="1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</row>
    <row r="317" spans="1:16" ht="13.15" customHeight="1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</row>
    <row r="318" spans="1:16" ht="13.15" customHeight="1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</row>
    <row r="319" spans="1:16" ht="13.15" customHeight="1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</row>
    <row r="320" spans="1:16" ht="13.15" customHeight="1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</row>
    <row r="321" spans="1:16" ht="13.15" customHeight="1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</row>
    <row r="322" spans="1:16" ht="13.15" customHeight="1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</row>
    <row r="323" spans="1:16" ht="13.15" customHeight="1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</row>
    <row r="324" spans="1:16" ht="13.15" customHeight="1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</row>
    <row r="325" spans="1:16" ht="13.15" customHeight="1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</row>
    <row r="326" spans="1:16" ht="13.15" customHeight="1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</row>
    <row r="327" spans="1:16" ht="13.15" customHeight="1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</row>
    <row r="328" spans="1:16" ht="13.15" customHeight="1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</row>
    <row r="329" spans="1:16" ht="13.15" customHeight="1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</row>
    <row r="330" spans="1:16" ht="13.15" customHeight="1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</row>
    <row r="331" spans="1:16" ht="13.15" customHeight="1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</row>
    <row r="332" spans="1:16" ht="13.15" customHeight="1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</row>
    <row r="333" spans="1:16" ht="13.15" customHeight="1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</row>
    <row r="334" spans="1:16" ht="13.15" customHeight="1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</row>
    <row r="335" spans="1:16" ht="13.15" customHeight="1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</row>
    <row r="336" spans="1:16" ht="13.15" customHeight="1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</row>
    <row r="337" spans="1:16" ht="13.15" customHeight="1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</row>
    <row r="338" spans="1:16" ht="13.15" customHeight="1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</row>
    <row r="339" spans="1:16" ht="13.15" customHeight="1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</row>
    <row r="340" spans="1:16" ht="13.15" customHeight="1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</row>
    <row r="341" spans="1:16" ht="13.15" customHeight="1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</row>
    <row r="342" spans="1:16" ht="13.15" customHeight="1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</row>
    <row r="343" spans="1:16" ht="13.15" customHeight="1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</row>
    <row r="344" spans="1:16" ht="13.15" customHeight="1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</row>
    <row r="345" spans="1:16" ht="13.15" customHeight="1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</row>
    <row r="346" spans="1:16" ht="13.15" customHeight="1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</row>
    <row r="347" spans="1:16" ht="13.15" customHeight="1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</row>
    <row r="348" spans="1:16" ht="13.15" customHeight="1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</row>
    <row r="349" spans="1:16" ht="13.15" customHeight="1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</row>
    <row r="350" spans="1:16" ht="13.15" customHeight="1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</row>
    <row r="351" spans="1:16" ht="13.15" customHeight="1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</row>
    <row r="352" spans="1:16" ht="13.15" customHeight="1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</row>
    <row r="353" spans="1:16" ht="13.15" customHeight="1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</row>
    <row r="354" spans="1:16" ht="13.15" customHeight="1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</row>
    <row r="355" spans="1:16" ht="13.15" customHeight="1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</row>
    <row r="356" spans="1:16" ht="13.15" customHeight="1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</row>
    <row r="357" spans="1:16" ht="13.15" customHeight="1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</row>
    <row r="358" spans="1:16" ht="13.15" customHeight="1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</row>
    <row r="359" spans="1:16" ht="13.15" customHeight="1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</row>
    <row r="360" spans="1:16" ht="13.15" customHeight="1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</row>
    <row r="361" spans="1:16" ht="13.15" customHeight="1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</row>
    <row r="362" spans="1:16" ht="13.15" customHeight="1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</row>
    <row r="363" spans="1:16" ht="13.15" customHeight="1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</row>
    <row r="364" spans="1:16" ht="13.15" customHeight="1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</row>
    <row r="365" spans="1:16" ht="13.15" customHeight="1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</row>
    <row r="366" spans="1:16" ht="13.15" customHeight="1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</row>
    <row r="367" spans="1:16" ht="13.15" customHeight="1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</row>
    <row r="368" spans="1:16" ht="13.15" customHeight="1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</row>
    <row r="369" spans="1:16" ht="13.15" customHeight="1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</row>
    <row r="370" spans="1:16" ht="13.15" customHeight="1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</row>
    <row r="371" spans="1:16" ht="13.15" customHeight="1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</row>
    <row r="372" spans="1:16" ht="13.15" customHeight="1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</row>
    <row r="373" spans="1:16" ht="13.15" customHeight="1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</row>
    <row r="374" spans="1:16" ht="13.15" customHeight="1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</row>
    <row r="375" spans="1:16" ht="13.15" customHeight="1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</row>
    <row r="376" spans="1:16" ht="13.15" customHeight="1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</row>
    <row r="377" spans="1:16" ht="13.15" customHeight="1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</row>
    <row r="378" spans="1:16" ht="13.15" customHeight="1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</row>
    <row r="379" spans="1:16" ht="13.15" customHeight="1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</row>
    <row r="380" spans="1:16" ht="13.15" customHeight="1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</row>
    <row r="381" spans="1:16" ht="13.15" customHeight="1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</row>
    <row r="382" spans="1:16" ht="13.15" customHeight="1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</row>
    <row r="383" spans="1:16" ht="13.15" customHeight="1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</row>
    <row r="384" spans="1:16" ht="13.15" customHeight="1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</row>
    <row r="385" spans="1:16" ht="13.15" customHeight="1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</row>
    <row r="386" spans="1:16" ht="13.15" customHeight="1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</row>
    <row r="387" spans="1:16" ht="13.15" customHeight="1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</row>
    <row r="388" spans="1:16" ht="13.15" customHeight="1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</row>
    <row r="389" spans="1:16" ht="13.15" customHeight="1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</row>
    <row r="390" spans="1:16" ht="13.15" customHeight="1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</row>
    <row r="391" spans="1:16" ht="13.15" customHeight="1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</row>
    <row r="392" spans="1:16" ht="13.15" customHeight="1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</row>
    <row r="393" spans="1:16" ht="13.15" customHeight="1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</row>
    <row r="394" spans="1:16" ht="13.15" customHeight="1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</row>
    <row r="395" spans="1:16" ht="13.15" customHeight="1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</row>
    <row r="396" spans="1:16" ht="13.15" customHeight="1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</row>
    <row r="397" spans="1:16" ht="13.15" customHeight="1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</row>
    <row r="398" spans="1:16" ht="13.15" customHeight="1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</row>
    <row r="399" spans="1:16" ht="13.15" customHeight="1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</row>
    <row r="400" spans="1:16" ht="13.15" customHeight="1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</row>
    <row r="401" spans="1:16" ht="13.15" customHeight="1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</row>
  </sheetData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Y401"/>
  <sheetViews>
    <sheetView zoomScaleNormal="100" workbookViewId="0">
      <selection activeCell="A2" sqref="A2"/>
    </sheetView>
  </sheetViews>
  <sheetFormatPr defaultColWidth="8.81640625" defaultRowHeight="13.15" customHeight="1" x14ac:dyDescent="0.25"/>
  <cols>
    <col min="1" max="1" width="3.26953125" style="4" customWidth="1"/>
    <col min="2" max="2" width="5.453125" style="4" customWidth="1"/>
    <col min="3" max="17" width="9.54296875" style="4" customWidth="1"/>
    <col min="18" max="18" width="10.26953125" style="4" customWidth="1"/>
    <col min="19" max="16384" width="8.81640625" style="4"/>
  </cols>
  <sheetData>
    <row r="1" spans="1:25" ht="13.15" customHeight="1" x14ac:dyDescent="0.35">
      <c r="A1" s="1" t="s">
        <v>19</v>
      </c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</row>
    <row r="2" spans="1:25" ht="13.15" customHeight="1" x14ac:dyDescent="0.25">
      <c r="A2" s="5" t="s">
        <v>26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6"/>
      <c r="N2" s="6"/>
      <c r="O2" s="6"/>
      <c r="P2" s="6"/>
      <c r="Q2" s="6"/>
      <c r="R2" s="6"/>
    </row>
    <row r="3" spans="1:25" ht="13.15" customHeight="1" x14ac:dyDescent="0.3">
      <c r="A3" s="5"/>
      <c r="B3" s="5"/>
      <c r="C3" s="8"/>
      <c r="D3" s="8"/>
      <c r="E3" s="8"/>
      <c r="F3" s="8"/>
      <c r="G3" s="8"/>
      <c r="H3" s="8"/>
      <c r="I3" s="8"/>
      <c r="J3" s="8"/>
      <c r="K3" s="8"/>
      <c r="L3" s="8"/>
      <c r="M3" s="7"/>
      <c r="N3" s="7"/>
      <c r="O3" s="7"/>
      <c r="P3" s="7"/>
      <c r="Q3" s="7"/>
      <c r="R3" s="6"/>
    </row>
    <row r="4" spans="1:25" ht="13.15" customHeight="1" x14ac:dyDescent="0.3">
      <c r="A4" s="7"/>
      <c r="B4" s="8"/>
      <c r="C4" s="8"/>
      <c r="D4" s="8"/>
      <c r="E4" s="16" t="s">
        <v>16</v>
      </c>
      <c r="F4" s="8"/>
      <c r="G4" s="8"/>
      <c r="H4" s="8"/>
      <c r="I4" s="8"/>
      <c r="J4" s="8"/>
      <c r="K4" s="8"/>
      <c r="L4" s="8"/>
      <c r="M4" s="8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 ht="13.15" customHeight="1" x14ac:dyDescent="0.35">
      <c r="A5" s="7"/>
      <c r="B5" s="9"/>
      <c r="C5" s="45" t="s">
        <v>0</v>
      </c>
      <c r="D5" s="45" t="s">
        <v>1</v>
      </c>
      <c r="E5" s="25" t="s">
        <v>11</v>
      </c>
      <c r="F5" s="8"/>
      <c r="G5" s="8"/>
      <c r="H5" s="8"/>
      <c r="I5" s="8"/>
      <c r="J5" s="8"/>
      <c r="K5" s="8"/>
      <c r="L5" s="8"/>
      <c r="M5" s="8"/>
      <c r="N5" s="8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 ht="13.15" customHeight="1" x14ac:dyDescent="0.3">
      <c r="A6" s="7"/>
      <c r="B6" s="45" t="s">
        <v>0</v>
      </c>
      <c r="C6" s="10">
        <v>1</v>
      </c>
      <c r="D6" s="11">
        <v>3</v>
      </c>
      <c r="E6" s="13">
        <f t="array" ref="E6:E9">AHPmat_Algebra(C6:D7)</f>
        <v>0.74999999999454303</v>
      </c>
      <c r="F6" s="8"/>
      <c r="G6" s="8"/>
      <c r="H6" s="8"/>
      <c r="I6" s="8"/>
      <c r="J6" s="8"/>
      <c r="K6" s="8"/>
      <c r="L6" s="8"/>
      <c r="M6" s="8"/>
      <c r="N6" s="8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 ht="13.15" customHeight="1" x14ac:dyDescent="0.3">
      <c r="A7" s="7"/>
      <c r="B7" s="45" t="s">
        <v>1</v>
      </c>
      <c r="C7" s="12">
        <f>1/D6</f>
        <v>0.33333333333333331</v>
      </c>
      <c r="D7" s="10">
        <v>1</v>
      </c>
      <c r="E7" s="13">
        <v>0.25000000000545697</v>
      </c>
      <c r="F7" s="8"/>
      <c r="G7" s="8"/>
      <c r="H7" s="8"/>
      <c r="I7" s="8"/>
      <c r="J7" s="8"/>
      <c r="K7" s="8"/>
      <c r="L7" s="8"/>
      <c r="M7" s="8"/>
      <c r="N7" s="8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 ht="13.15" customHeight="1" x14ac:dyDescent="0.3">
      <c r="A8" s="7"/>
      <c r="B8" s="8"/>
      <c r="C8" s="8"/>
      <c r="D8" s="42" t="s">
        <v>17</v>
      </c>
      <c r="E8" s="29">
        <v>2.0000000000291038</v>
      </c>
      <c r="F8" s="8"/>
      <c r="G8" s="8"/>
      <c r="H8" s="8"/>
      <c r="I8" s="8"/>
      <c r="J8" s="7"/>
      <c r="K8" s="7"/>
      <c r="L8" s="8"/>
      <c r="M8" s="8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 ht="13.15" customHeight="1" x14ac:dyDescent="0.3">
      <c r="A9" s="7"/>
      <c r="B9" s="6"/>
      <c r="C9" s="7"/>
      <c r="D9" s="44" t="s">
        <v>4</v>
      </c>
      <c r="E9" s="35">
        <v>0</v>
      </c>
      <c r="F9" s="8"/>
      <c r="G9" s="8"/>
      <c r="H9" s="8"/>
      <c r="I9" s="8"/>
      <c r="J9" s="7"/>
      <c r="K9" s="8"/>
      <c r="L9" s="8"/>
      <c r="M9" s="8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 ht="13.15" customHeight="1" x14ac:dyDescent="0.3">
      <c r="A10" s="7"/>
      <c r="B10" s="8"/>
      <c r="C10" s="8"/>
      <c r="D10" s="7"/>
      <c r="E10" s="36" t="s">
        <v>2</v>
      </c>
      <c r="F10" s="36"/>
      <c r="G10" s="36"/>
      <c r="H10" s="36"/>
      <c r="I10" s="8"/>
      <c r="J10" s="8"/>
      <c r="K10" s="8"/>
      <c r="L10" s="8"/>
      <c r="M10" s="8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 ht="13.15" customHeight="1" x14ac:dyDescent="0.3">
      <c r="A11" s="7"/>
      <c r="B11" s="14"/>
      <c r="C11" s="15"/>
      <c r="D11" s="43"/>
      <c r="E11" s="8"/>
      <c r="F11" s="8"/>
      <c r="G11" s="8"/>
      <c r="H11" s="7"/>
      <c r="I11" s="8"/>
      <c r="J11" s="8"/>
      <c r="K11" s="8"/>
      <c r="L11" s="8"/>
      <c r="M11" s="8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 ht="13.15" customHeight="1" x14ac:dyDescent="0.3">
      <c r="A12" s="7"/>
      <c r="B12" s="14"/>
      <c r="C12" s="15"/>
      <c r="D12" s="43"/>
      <c r="E12" s="8"/>
      <c r="F12" s="8"/>
      <c r="G12" s="8"/>
      <c r="H12" s="7"/>
      <c r="I12" s="8"/>
      <c r="J12" s="8"/>
      <c r="K12" s="8"/>
      <c r="L12" s="8"/>
      <c r="M12" s="8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 ht="13.15" customHeight="1" x14ac:dyDescent="0.3">
      <c r="A13" s="7"/>
      <c r="B13" s="8"/>
      <c r="C13" s="8"/>
      <c r="D13" s="8"/>
      <c r="E13" s="8"/>
      <c r="F13" s="16" t="s">
        <v>16</v>
      </c>
      <c r="G13" s="8"/>
      <c r="H13" s="8"/>
      <c r="I13" s="8"/>
      <c r="J13" s="8"/>
      <c r="K13" s="8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 ht="13.15" customHeight="1" x14ac:dyDescent="0.35">
      <c r="A14" s="7"/>
      <c r="B14" s="46"/>
      <c r="C14" s="45" t="s">
        <v>0</v>
      </c>
      <c r="D14" s="45" t="s">
        <v>1</v>
      </c>
      <c r="E14" s="45" t="s">
        <v>3</v>
      </c>
      <c r="F14" s="25" t="s">
        <v>11</v>
      </c>
      <c r="G14" s="8"/>
      <c r="H14" s="8"/>
      <c r="I14" s="8"/>
      <c r="J14" s="8"/>
      <c r="K14" s="8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5" ht="13.15" customHeight="1" x14ac:dyDescent="0.3">
      <c r="A15" s="7"/>
      <c r="B15" s="45" t="s">
        <v>0</v>
      </c>
      <c r="C15" s="10">
        <v>1</v>
      </c>
      <c r="D15" s="11">
        <v>3</v>
      </c>
      <c r="E15" s="11">
        <v>5</v>
      </c>
      <c r="F15" s="27">
        <f t="array" ref="F15:F19">AHPmat_Algebra(C15:E17)</f>
        <v>0.63698557174435422</v>
      </c>
      <c r="G15" s="8"/>
      <c r="H15" s="8"/>
      <c r="I15" s="8"/>
      <c r="J15" s="8"/>
      <c r="K15" s="8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5" ht="13.15" customHeight="1" x14ac:dyDescent="0.3">
      <c r="A16" s="7"/>
      <c r="B16" s="45" t="s">
        <v>1</v>
      </c>
      <c r="C16" s="12">
        <f>1/D15</f>
        <v>0.33333333333333331</v>
      </c>
      <c r="D16" s="10">
        <v>1</v>
      </c>
      <c r="E16" s="16">
        <v>3</v>
      </c>
      <c r="F16" s="27">
        <v>0.25828499437447716</v>
      </c>
      <c r="G16" s="8"/>
      <c r="H16" s="8"/>
      <c r="I16" s="8"/>
      <c r="J16" s="8"/>
      <c r="K16" s="8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5" ht="13.15" customHeight="1" x14ac:dyDescent="0.3">
      <c r="A17" s="7"/>
      <c r="B17" s="45" t="s">
        <v>3</v>
      </c>
      <c r="C17" s="12">
        <f>1/E15</f>
        <v>0.2</v>
      </c>
      <c r="D17" s="12">
        <f>1/E16</f>
        <v>0.33333333333333331</v>
      </c>
      <c r="E17" s="10">
        <v>1</v>
      </c>
      <c r="F17" s="27">
        <v>0.10472943388116869</v>
      </c>
      <c r="G17" s="8"/>
      <c r="H17" s="8"/>
      <c r="I17" s="8"/>
      <c r="J17" s="8"/>
      <c r="K17" s="8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5" ht="13.15" customHeight="1" x14ac:dyDescent="0.3">
      <c r="A18" s="7"/>
      <c r="B18" s="6"/>
      <c r="C18" s="7"/>
      <c r="D18" s="7"/>
      <c r="E18" s="42" t="s">
        <v>17</v>
      </c>
      <c r="F18" s="34">
        <v>3.0385110905626789</v>
      </c>
      <c r="G18" s="8"/>
      <c r="H18" s="8"/>
      <c r="I18" s="8"/>
      <c r="J18" s="8"/>
      <c r="K18" s="8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5" ht="13.15" customHeight="1" x14ac:dyDescent="0.3">
      <c r="A19" s="7"/>
      <c r="B19" s="6"/>
      <c r="C19" s="7"/>
      <c r="D19" s="7"/>
      <c r="E19" s="44" t="s">
        <v>4</v>
      </c>
      <c r="F19" s="34">
        <v>3.3199216002309379E-2</v>
      </c>
      <c r="G19" s="8"/>
      <c r="H19" s="8"/>
      <c r="I19" s="8"/>
      <c r="J19" s="8"/>
      <c r="K19" s="8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5" ht="13.15" customHeight="1" x14ac:dyDescent="0.3">
      <c r="A20" s="7"/>
      <c r="B20" s="8"/>
      <c r="C20" s="8"/>
      <c r="D20" s="8"/>
      <c r="E20" s="17"/>
      <c r="F20" s="18"/>
      <c r="G20" s="8"/>
      <c r="H20" s="8"/>
      <c r="I20" s="8"/>
      <c r="J20" s="8"/>
      <c r="K20" s="8"/>
      <c r="L20" s="8"/>
      <c r="M20" s="8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 ht="13.15" customHeight="1" x14ac:dyDescent="0.3">
      <c r="A21" s="7"/>
      <c r="B21" s="8"/>
      <c r="C21" s="8"/>
      <c r="D21" s="8"/>
      <c r="E21" s="17"/>
      <c r="F21" s="18"/>
      <c r="G21" s="8"/>
      <c r="H21" s="8"/>
      <c r="I21" s="8"/>
      <c r="J21" s="8"/>
      <c r="K21" s="8"/>
      <c r="L21" s="8"/>
      <c r="M21" s="8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 ht="13.15" customHeight="1" x14ac:dyDescent="0.3">
      <c r="A22" s="7"/>
      <c r="B22" s="8"/>
      <c r="C22" s="8"/>
      <c r="D22" s="8"/>
      <c r="E22" s="17"/>
      <c r="F22" s="18"/>
      <c r="G22" s="8"/>
      <c r="H22" s="8"/>
      <c r="I22" s="8"/>
      <c r="J22" s="8"/>
      <c r="K22" s="8"/>
      <c r="L22" s="8"/>
      <c r="M22" s="8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 ht="13.15" customHeight="1" x14ac:dyDescent="0.3">
      <c r="A23" s="7"/>
      <c r="B23" s="19"/>
      <c r="C23" s="19"/>
      <c r="D23" s="19"/>
      <c r="E23" s="19"/>
      <c r="F23" s="19"/>
      <c r="G23" s="16" t="s">
        <v>16</v>
      </c>
      <c r="H23" s="8"/>
      <c r="I23" s="8"/>
      <c r="J23" s="8"/>
      <c r="K23" s="7"/>
      <c r="L23" s="8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 ht="13.15" customHeight="1" x14ac:dyDescent="0.35">
      <c r="A24" s="7"/>
      <c r="B24" s="46"/>
      <c r="C24" s="45" t="s">
        <v>0</v>
      </c>
      <c r="D24" s="45" t="s">
        <v>1</v>
      </c>
      <c r="E24" s="45" t="s">
        <v>3</v>
      </c>
      <c r="F24" s="45" t="s">
        <v>5</v>
      </c>
      <c r="G24" s="25" t="s">
        <v>11</v>
      </c>
      <c r="H24" s="8"/>
      <c r="I24" s="8"/>
      <c r="J24" s="8"/>
      <c r="K24" s="8"/>
      <c r="L24" s="8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5" ht="13.15" customHeight="1" x14ac:dyDescent="0.3">
      <c r="A25" s="7"/>
      <c r="B25" s="45" t="s">
        <v>0</v>
      </c>
      <c r="C25" s="10">
        <v>1</v>
      </c>
      <c r="D25" s="16">
        <v>3</v>
      </c>
      <c r="E25" s="16">
        <v>5</v>
      </c>
      <c r="F25" s="16">
        <v>7</v>
      </c>
      <c r="G25" s="27">
        <f t="array" ref="G25:G30">AHPmat_Algebra(C25:F28)</f>
        <v>0.56500905379904265</v>
      </c>
      <c r="H25" s="8"/>
      <c r="I25" s="8"/>
      <c r="J25" s="8"/>
      <c r="L25" s="8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5" ht="13.15" customHeight="1" x14ac:dyDescent="0.3">
      <c r="A26" s="7"/>
      <c r="B26" s="45" t="s">
        <v>1</v>
      </c>
      <c r="C26" s="12">
        <f>1/D25</f>
        <v>0.33333333333333331</v>
      </c>
      <c r="D26" s="10">
        <v>1</v>
      </c>
      <c r="E26" s="16">
        <v>3</v>
      </c>
      <c r="F26" s="16">
        <v>5</v>
      </c>
      <c r="G26" s="27">
        <v>0.26220120556087334</v>
      </c>
      <c r="H26" s="8"/>
      <c r="I26" s="8"/>
      <c r="J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5" ht="13.15" customHeight="1" x14ac:dyDescent="0.3">
      <c r="A27" s="7"/>
      <c r="B27" s="45" t="s">
        <v>3</v>
      </c>
      <c r="C27" s="12">
        <f>1/E25</f>
        <v>0.2</v>
      </c>
      <c r="D27" s="12">
        <f>1/E26</f>
        <v>0.33333333333333331</v>
      </c>
      <c r="E27" s="10">
        <v>1</v>
      </c>
      <c r="F27" s="16">
        <v>3</v>
      </c>
      <c r="G27" s="27">
        <v>0.11750425004139914</v>
      </c>
      <c r="H27" s="8"/>
      <c r="I27" s="8"/>
      <c r="J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5" ht="13.15" customHeight="1" x14ac:dyDescent="0.3">
      <c r="A28" s="7"/>
      <c r="B28" s="45" t="s">
        <v>5</v>
      </c>
      <c r="C28" s="12">
        <f>1/F25</f>
        <v>0.14285714285714285</v>
      </c>
      <c r="D28" s="12">
        <f>1/F26</f>
        <v>0.2</v>
      </c>
      <c r="E28" s="12">
        <f>1/F27</f>
        <v>0.33333333333333331</v>
      </c>
      <c r="F28" s="10">
        <v>1</v>
      </c>
      <c r="G28" s="27">
        <v>5.5285490598684907E-2</v>
      </c>
      <c r="H28" s="8"/>
      <c r="I28" s="8"/>
      <c r="J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5" ht="13.15" customHeight="1" x14ac:dyDescent="0.3">
      <c r="A29" s="7"/>
      <c r="B29" s="7"/>
      <c r="C29" s="7"/>
      <c r="D29" s="7"/>
      <c r="E29" s="7"/>
      <c r="F29" s="42" t="s">
        <v>17</v>
      </c>
      <c r="G29" s="31">
        <v>4.1169824434473412</v>
      </c>
      <c r="H29" s="8"/>
      <c r="I29" s="8"/>
      <c r="J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 ht="13.15" customHeight="1" x14ac:dyDescent="0.3">
      <c r="A30" s="7"/>
      <c r="B30" s="7"/>
      <c r="C30" s="7"/>
      <c r="D30" s="7"/>
      <c r="E30" s="7"/>
      <c r="F30" s="44" t="s">
        <v>4</v>
      </c>
      <c r="G30" s="31">
        <v>4.332683090642267E-2</v>
      </c>
      <c r="H30" s="8"/>
      <c r="I30" s="8"/>
      <c r="J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 ht="13.15" customHeight="1" x14ac:dyDescent="0.3">
      <c r="A31" s="7"/>
      <c r="B31" s="14"/>
      <c r="C31" s="14"/>
      <c r="D31" s="8"/>
      <c r="E31" s="8"/>
      <c r="F31" s="43"/>
      <c r="G31" s="8"/>
      <c r="H31" s="8"/>
      <c r="I31" s="8"/>
      <c r="J31" s="8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 ht="13.15" customHeight="1" x14ac:dyDescent="0.3">
      <c r="A32" s="7"/>
      <c r="B32" s="14"/>
      <c r="C32" s="14"/>
      <c r="D32" s="8"/>
      <c r="E32" s="8"/>
      <c r="F32" s="43"/>
      <c r="G32" s="8"/>
      <c r="H32" s="8"/>
      <c r="I32" s="8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ht="13.15" customHeight="1" x14ac:dyDescent="0.3">
      <c r="A33" s="7"/>
      <c r="B33" s="14"/>
      <c r="C33" s="14"/>
      <c r="D33" s="14"/>
      <c r="E33" s="8"/>
      <c r="F33" s="8"/>
      <c r="G33" s="8"/>
      <c r="H33" s="8"/>
      <c r="I33" s="8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ht="13.15" customHeight="1" x14ac:dyDescent="0.3">
      <c r="A34" s="7"/>
      <c r="B34" s="7"/>
      <c r="C34" s="7"/>
      <c r="D34" s="7"/>
      <c r="E34" s="7"/>
      <c r="F34" s="7"/>
      <c r="G34" s="7"/>
      <c r="H34" s="16" t="s">
        <v>16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ht="13.15" customHeight="1" x14ac:dyDescent="0.35">
      <c r="A35" s="7"/>
      <c r="B35" s="46"/>
      <c r="C35" s="45" t="s">
        <v>0</v>
      </c>
      <c r="D35" s="45" t="s">
        <v>1</v>
      </c>
      <c r="E35" s="45" t="s">
        <v>3</v>
      </c>
      <c r="F35" s="45" t="s">
        <v>5</v>
      </c>
      <c r="G35" s="45" t="s">
        <v>6</v>
      </c>
      <c r="H35" s="25" t="s">
        <v>11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ht="13.15" customHeight="1" x14ac:dyDescent="0.3">
      <c r="A36" s="7"/>
      <c r="B36" s="45" t="s">
        <v>0</v>
      </c>
      <c r="C36" s="10">
        <v>1</v>
      </c>
      <c r="D36" s="16">
        <v>3</v>
      </c>
      <c r="E36" s="16">
        <v>5</v>
      </c>
      <c r="F36" s="21">
        <v>7</v>
      </c>
      <c r="G36" s="21">
        <v>9</v>
      </c>
      <c r="H36" s="27">
        <f t="array" ref="H36:H42">AHPmat_Algebra(C36:G40)</f>
        <v>0.51281281278141166</v>
      </c>
      <c r="I36" s="7"/>
      <c r="J36" s="7"/>
      <c r="K36" s="7"/>
      <c r="L36" s="8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ht="13.15" customHeight="1" x14ac:dyDescent="0.3">
      <c r="A37" s="7"/>
      <c r="B37" s="45" t="s">
        <v>1</v>
      </c>
      <c r="C37" s="12">
        <f>1/D36</f>
        <v>0.33333333333333331</v>
      </c>
      <c r="D37" s="10">
        <v>1</v>
      </c>
      <c r="E37" s="16">
        <v>3</v>
      </c>
      <c r="F37" s="21">
        <v>5</v>
      </c>
      <c r="G37" s="21">
        <v>7</v>
      </c>
      <c r="H37" s="27">
        <v>0.26149905572177617</v>
      </c>
      <c r="I37" s="7"/>
      <c r="J37" s="7"/>
      <c r="K37" s="7"/>
      <c r="L37" s="8"/>
      <c r="M37" s="8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ht="13.15" customHeight="1" x14ac:dyDescent="0.3">
      <c r="A38" s="7"/>
      <c r="B38" s="45" t="s">
        <v>3</v>
      </c>
      <c r="C38" s="12">
        <f>1/E36</f>
        <v>0.2</v>
      </c>
      <c r="D38" s="12">
        <f>1/E37</f>
        <v>0.33333333333333331</v>
      </c>
      <c r="E38" s="10">
        <v>1</v>
      </c>
      <c r="F38" s="21">
        <v>3</v>
      </c>
      <c r="G38" s="21">
        <v>5</v>
      </c>
      <c r="H38" s="27">
        <v>0.12897642312026894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ht="13.15" customHeight="1" x14ac:dyDescent="0.3">
      <c r="A39" s="7"/>
      <c r="B39" s="45" t="s">
        <v>5</v>
      </c>
      <c r="C39" s="12">
        <f>1/F36</f>
        <v>0.14285714285714285</v>
      </c>
      <c r="D39" s="12">
        <f>1/F37</f>
        <v>0.2</v>
      </c>
      <c r="E39" s="12">
        <f>1/F38</f>
        <v>0.33333333333333331</v>
      </c>
      <c r="F39" s="10">
        <v>1</v>
      </c>
      <c r="G39" s="21">
        <v>3</v>
      </c>
      <c r="H39" s="27">
        <v>6.3376527674385605E-2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ht="13.15" customHeight="1" x14ac:dyDescent="0.3">
      <c r="A40" s="7"/>
      <c r="B40" s="45" t="s">
        <v>6</v>
      </c>
      <c r="C40" s="12">
        <f>1/G36</f>
        <v>0.1111111111111111</v>
      </c>
      <c r="D40" s="12">
        <f>1/G37</f>
        <v>0.14285714285714285</v>
      </c>
      <c r="E40" s="12">
        <f>1/G38</f>
        <v>0.2</v>
      </c>
      <c r="F40" s="12">
        <f>1/G39</f>
        <v>0.33333333333333331</v>
      </c>
      <c r="G40" s="10">
        <v>1</v>
      </c>
      <c r="H40" s="27">
        <v>3.3335180702157657E-2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 ht="13.15" customHeight="1" x14ac:dyDescent="0.3">
      <c r="A41" s="7"/>
      <c r="B41" s="14"/>
      <c r="C41" s="14"/>
      <c r="D41" s="7"/>
      <c r="E41" s="7"/>
      <c r="F41" s="7"/>
      <c r="G41" s="42" t="s">
        <v>17</v>
      </c>
      <c r="H41" s="34">
        <v>5.2374752514872398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 ht="13.15" customHeight="1" x14ac:dyDescent="0.3">
      <c r="A42" s="7"/>
      <c r="B42" s="14"/>
      <c r="C42" s="14"/>
      <c r="D42" s="7"/>
      <c r="E42" s="7"/>
      <c r="F42" s="7"/>
      <c r="G42" s="44" t="s">
        <v>4</v>
      </c>
      <c r="H42" s="34">
        <v>5.3007868635544596E-2</v>
      </c>
      <c r="I42" s="7"/>
      <c r="J42" s="7"/>
      <c r="K42" s="7"/>
      <c r="L42" s="20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 ht="13.15" customHeight="1" x14ac:dyDescent="0.3">
      <c r="A43" s="7"/>
      <c r="B43" s="14"/>
      <c r="C43" s="14"/>
      <c r="D43" s="14"/>
      <c r="E43" s="15"/>
      <c r="F43" s="7"/>
      <c r="G43" s="43"/>
      <c r="H43" s="24"/>
      <c r="I43" s="8"/>
      <c r="J43" s="7"/>
      <c r="K43" s="24"/>
      <c r="L43" s="20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 ht="13.15" customHeight="1" x14ac:dyDescent="0.3">
      <c r="A44" s="7"/>
      <c r="B44" s="14"/>
      <c r="C44" s="14"/>
      <c r="D44" s="14"/>
      <c r="E44" s="15"/>
      <c r="F44" s="7"/>
      <c r="G44" s="43"/>
      <c r="H44" s="24"/>
      <c r="I44" s="8"/>
      <c r="J44" s="7"/>
      <c r="K44" s="24"/>
      <c r="L44" s="20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 ht="13.15" customHeight="1" x14ac:dyDescent="0.3">
      <c r="A45" s="7"/>
      <c r="B45" s="14"/>
      <c r="C45" s="14"/>
      <c r="D45" s="14"/>
      <c r="E45" s="15"/>
      <c r="F45" s="17"/>
      <c r="G45" s="18"/>
      <c r="H45" s="7"/>
      <c r="I45" s="7"/>
      <c r="J45" s="7"/>
      <c r="K45" s="7"/>
      <c r="L45" s="7"/>
      <c r="M45" s="20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 ht="13.15" customHeight="1" x14ac:dyDescent="0.3">
      <c r="A46" s="7"/>
      <c r="B46" s="7"/>
      <c r="C46" s="7"/>
      <c r="D46" s="7"/>
      <c r="E46" s="7"/>
      <c r="F46" s="7"/>
      <c r="G46" s="7"/>
      <c r="H46" s="7"/>
      <c r="I46" s="16" t="s">
        <v>16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 ht="13.15" customHeight="1" x14ac:dyDescent="0.35">
      <c r="A47" s="7"/>
      <c r="B47" s="46"/>
      <c r="C47" s="45" t="s">
        <v>0</v>
      </c>
      <c r="D47" s="45" t="s">
        <v>1</v>
      </c>
      <c r="E47" s="45" t="s">
        <v>3</v>
      </c>
      <c r="F47" s="45" t="s">
        <v>5</v>
      </c>
      <c r="G47" s="45" t="s">
        <v>6</v>
      </c>
      <c r="H47" s="45" t="s">
        <v>7</v>
      </c>
      <c r="I47" s="25" t="s">
        <v>11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 ht="13.15" customHeight="1" x14ac:dyDescent="0.3">
      <c r="A48" s="7"/>
      <c r="B48" s="45" t="s">
        <v>0</v>
      </c>
      <c r="C48" s="10">
        <v>1</v>
      </c>
      <c r="D48" s="16">
        <v>3</v>
      </c>
      <c r="E48" s="16">
        <v>5</v>
      </c>
      <c r="F48" s="21">
        <v>6</v>
      </c>
      <c r="G48" s="21">
        <v>7</v>
      </c>
      <c r="H48" s="21">
        <v>9</v>
      </c>
      <c r="I48" s="27">
        <f t="array" ref="I48:I55">AHPmat_Algebra(C48:H53)</f>
        <v>0.45077244103489011</v>
      </c>
      <c r="J48" s="7"/>
      <c r="K48" s="7"/>
      <c r="L48" s="7"/>
      <c r="M48" s="8"/>
      <c r="N48" s="8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 ht="13.15" customHeight="1" x14ac:dyDescent="0.3">
      <c r="A49" s="7"/>
      <c r="B49" s="45" t="s">
        <v>1</v>
      </c>
      <c r="C49" s="12">
        <f>1/D48</f>
        <v>0.33333333333333331</v>
      </c>
      <c r="D49" s="10">
        <v>1</v>
      </c>
      <c r="E49" s="16">
        <v>3</v>
      </c>
      <c r="F49" s="21">
        <v>5</v>
      </c>
      <c r="G49" s="21">
        <v>7</v>
      </c>
      <c r="H49" s="21">
        <v>8</v>
      </c>
      <c r="I49" s="27">
        <v>0.26364448198874185</v>
      </c>
      <c r="J49" s="7"/>
      <c r="K49" s="7"/>
      <c r="L49" s="7"/>
      <c r="M49" s="8"/>
      <c r="N49" s="8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 ht="13.15" customHeight="1" x14ac:dyDescent="0.3">
      <c r="A50" s="7"/>
      <c r="B50" s="45" t="s">
        <v>3</v>
      </c>
      <c r="C50" s="12">
        <f>1/E48</f>
        <v>0.2</v>
      </c>
      <c r="D50" s="12">
        <f>1/E49</f>
        <v>0.33333333333333331</v>
      </c>
      <c r="E50" s="10">
        <v>1</v>
      </c>
      <c r="F50" s="21">
        <v>3</v>
      </c>
      <c r="G50" s="21">
        <v>5</v>
      </c>
      <c r="H50" s="21">
        <v>7</v>
      </c>
      <c r="I50" s="27">
        <v>0.14305005830862938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 ht="13.15" customHeight="1" x14ac:dyDescent="0.3">
      <c r="A51" s="7"/>
      <c r="B51" s="45" t="s">
        <v>5</v>
      </c>
      <c r="C51" s="12">
        <f>1/F48</f>
        <v>0.16666666666666666</v>
      </c>
      <c r="D51" s="12">
        <f>1/F49</f>
        <v>0.2</v>
      </c>
      <c r="E51" s="12">
        <f>1/F50</f>
        <v>0.33333333333333331</v>
      </c>
      <c r="F51" s="10">
        <v>1</v>
      </c>
      <c r="G51" s="21">
        <v>3</v>
      </c>
      <c r="H51" s="21">
        <v>5</v>
      </c>
      <c r="I51" s="27">
        <v>7.6717918738091126E-2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 ht="13.15" customHeight="1" x14ac:dyDescent="0.3">
      <c r="A52" s="7"/>
      <c r="B52" s="45" t="s">
        <v>6</v>
      </c>
      <c r="C52" s="22">
        <f>1/G48</f>
        <v>0.14285714285714285</v>
      </c>
      <c r="D52" s="22">
        <f>1/G49</f>
        <v>0.14285714285714285</v>
      </c>
      <c r="E52" s="22">
        <f>1/G50</f>
        <v>0.2</v>
      </c>
      <c r="F52" s="22">
        <f>1/G51</f>
        <v>0.33333333333333331</v>
      </c>
      <c r="G52" s="23">
        <v>1</v>
      </c>
      <c r="H52" s="21">
        <v>3</v>
      </c>
      <c r="I52" s="27">
        <v>4.1650763946217841E-2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 ht="13.15" customHeight="1" x14ac:dyDescent="0.3">
      <c r="A53" s="7"/>
      <c r="B53" s="45" t="s">
        <v>7</v>
      </c>
      <c r="C53" s="12">
        <f>1/H48</f>
        <v>0.1111111111111111</v>
      </c>
      <c r="D53" s="12">
        <f>1/H49</f>
        <v>0.125</v>
      </c>
      <c r="E53" s="12">
        <f>1/H50</f>
        <v>0.14285714285714285</v>
      </c>
      <c r="F53" s="12">
        <f>1/H51</f>
        <v>0.2</v>
      </c>
      <c r="G53" s="12">
        <f>1/H52</f>
        <v>0.33333333333333331</v>
      </c>
      <c r="H53" s="10">
        <v>1</v>
      </c>
      <c r="I53" s="27">
        <v>2.4164335983429746E-2</v>
      </c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 ht="13.15" customHeight="1" x14ac:dyDescent="0.3">
      <c r="A54" s="7"/>
      <c r="B54" s="14"/>
      <c r="C54" s="14"/>
      <c r="D54" s="7"/>
      <c r="E54" s="7"/>
      <c r="F54" s="7"/>
      <c r="G54" s="7"/>
      <c r="H54" s="42" t="s">
        <v>17</v>
      </c>
      <c r="I54" s="34">
        <v>6.4917412779915367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 ht="13.15" customHeight="1" x14ac:dyDescent="0.3">
      <c r="A55" s="7"/>
      <c r="B55" s="14"/>
      <c r="C55" s="14"/>
      <c r="D55" s="7"/>
      <c r="E55" s="7"/>
      <c r="F55" s="7"/>
      <c r="G55" s="7"/>
      <c r="H55" s="44" t="s">
        <v>4</v>
      </c>
      <c r="I55" s="34">
        <v>7.931310935347366E-2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 ht="13.15" customHeight="1" x14ac:dyDescent="0.3">
      <c r="A56" s="7"/>
      <c r="B56" s="14"/>
      <c r="C56" s="14"/>
      <c r="D56" s="7"/>
      <c r="E56" s="7"/>
      <c r="F56" s="7"/>
      <c r="G56" s="7"/>
      <c r="H56" s="43"/>
      <c r="I56" s="24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 ht="13.15" customHeight="1" x14ac:dyDescent="0.3">
      <c r="A57" s="7"/>
      <c r="B57" s="14"/>
      <c r="C57" s="14"/>
      <c r="D57" s="7"/>
      <c r="E57" s="7"/>
      <c r="F57" s="7"/>
      <c r="G57" s="7"/>
      <c r="H57" s="43"/>
      <c r="I57" s="24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 ht="13.15" customHeight="1" x14ac:dyDescent="0.3">
      <c r="A58" s="7"/>
      <c r="B58" s="14"/>
      <c r="C58" s="14"/>
      <c r="D58" s="14"/>
      <c r="E58" s="15"/>
      <c r="F58" s="17"/>
      <c r="G58" s="17"/>
      <c r="H58" s="18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 ht="13.15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16" t="s">
        <v>16</v>
      </c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 ht="13.15" customHeight="1" x14ac:dyDescent="0.35">
      <c r="A60" s="7"/>
      <c r="B60" s="46"/>
      <c r="C60" s="45" t="s">
        <v>0</v>
      </c>
      <c r="D60" s="45" t="s">
        <v>1</v>
      </c>
      <c r="E60" s="45" t="s">
        <v>3</v>
      </c>
      <c r="F60" s="45" t="s">
        <v>5</v>
      </c>
      <c r="G60" s="45" t="s">
        <v>6</v>
      </c>
      <c r="H60" s="45" t="s">
        <v>7</v>
      </c>
      <c r="I60" s="45" t="s">
        <v>8</v>
      </c>
      <c r="J60" s="25" t="s">
        <v>11</v>
      </c>
      <c r="K60" s="7"/>
      <c r="L60" s="7"/>
      <c r="M60" s="7"/>
      <c r="N60" s="7"/>
      <c r="O60" s="8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 ht="13.15" customHeight="1" x14ac:dyDescent="0.3">
      <c r="A61" s="7"/>
      <c r="B61" s="45" t="s">
        <v>0</v>
      </c>
      <c r="C61" s="10">
        <v>1</v>
      </c>
      <c r="D61" s="16">
        <v>3</v>
      </c>
      <c r="E61" s="16">
        <v>4</v>
      </c>
      <c r="F61" s="21">
        <v>6</v>
      </c>
      <c r="G61" s="21">
        <v>7</v>
      </c>
      <c r="H61" s="21">
        <v>8</v>
      </c>
      <c r="I61" s="21">
        <v>9</v>
      </c>
      <c r="J61" s="27">
        <f t="array" ref="J61:J69">AHPmat_Algebra(C61:I67)</f>
        <v>0.40447853337065648</v>
      </c>
      <c r="K61" s="7"/>
      <c r="L61" s="7"/>
      <c r="M61" s="7"/>
      <c r="N61" s="8"/>
      <c r="O61" s="8"/>
      <c r="P61" s="7"/>
      <c r="Q61" s="7"/>
      <c r="R61" s="6"/>
      <c r="S61" s="7"/>
      <c r="T61" s="7"/>
      <c r="U61" s="7"/>
      <c r="V61" s="7"/>
      <c r="W61" s="7"/>
      <c r="X61" s="7"/>
      <c r="Y61" s="7"/>
    </row>
    <row r="62" spans="1:25" ht="13.15" customHeight="1" x14ac:dyDescent="0.3">
      <c r="A62" s="7"/>
      <c r="B62" s="45" t="s">
        <v>1</v>
      </c>
      <c r="C62" s="12">
        <f>1/D61</f>
        <v>0.33333333333333331</v>
      </c>
      <c r="D62" s="10">
        <v>1</v>
      </c>
      <c r="E62" s="16">
        <v>2</v>
      </c>
      <c r="F62" s="21">
        <v>5</v>
      </c>
      <c r="G62" s="21">
        <v>6</v>
      </c>
      <c r="H62" s="21">
        <v>7</v>
      </c>
      <c r="I62" s="21">
        <v>8</v>
      </c>
      <c r="J62" s="27">
        <v>0.23973183976950452</v>
      </c>
      <c r="K62" s="7"/>
      <c r="L62" s="7"/>
      <c r="M62" s="7"/>
      <c r="N62" s="8"/>
      <c r="O62" s="8"/>
      <c r="P62" s="7"/>
      <c r="Q62" s="7"/>
      <c r="R62" s="6"/>
      <c r="S62" s="7"/>
      <c r="T62" s="7"/>
      <c r="U62" s="7"/>
      <c r="V62" s="7"/>
      <c r="W62" s="7"/>
      <c r="X62" s="7"/>
      <c r="Y62" s="7"/>
    </row>
    <row r="63" spans="1:25" ht="13.15" customHeight="1" x14ac:dyDescent="0.3">
      <c r="A63" s="7"/>
      <c r="B63" s="45" t="s">
        <v>3</v>
      </c>
      <c r="C63" s="12">
        <f>1/E61</f>
        <v>0.25</v>
      </c>
      <c r="D63" s="12">
        <f>1/E62</f>
        <v>0.5</v>
      </c>
      <c r="E63" s="10">
        <v>1</v>
      </c>
      <c r="F63" s="21">
        <v>3</v>
      </c>
      <c r="G63" s="21">
        <v>5</v>
      </c>
      <c r="H63" s="21">
        <v>6</v>
      </c>
      <c r="I63" s="21">
        <v>7</v>
      </c>
      <c r="J63" s="27">
        <v>0.16175601775778797</v>
      </c>
      <c r="K63" s="7"/>
      <c r="L63" s="7"/>
      <c r="M63" s="7"/>
      <c r="N63" s="7"/>
      <c r="O63" s="7"/>
      <c r="P63" s="7"/>
      <c r="Q63" s="7"/>
      <c r="R63" s="6"/>
      <c r="S63" s="7"/>
      <c r="T63" s="7"/>
      <c r="U63" s="7"/>
      <c r="V63" s="7"/>
      <c r="W63" s="7"/>
      <c r="X63" s="7"/>
      <c r="Y63" s="7"/>
    </row>
    <row r="64" spans="1:25" ht="13.15" customHeight="1" x14ac:dyDescent="0.3">
      <c r="A64" s="7"/>
      <c r="B64" s="45" t="s">
        <v>5</v>
      </c>
      <c r="C64" s="12">
        <f>1/F61</f>
        <v>0.16666666666666666</v>
      </c>
      <c r="D64" s="12">
        <f>1/F62</f>
        <v>0.2</v>
      </c>
      <c r="E64" s="12">
        <f>1/F63</f>
        <v>0.33333333333333331</v>
      </c>
      <c r="F64" s="10">
        <v>1</v>
      </c>
      <c r="G64" s="21">
        <v>3</v>
      </c>
      <c r="H64" s="21">
        <v>5</v>
      </c>
      <c r="I64" s="21">
        <v>6</v>
      </c>
      <c r="J64" s="27">
        <v>9.015819980293438E-2</v>
      </c>
      <c r="K64" s="7"/>
      <c r="L64" s="7"/>
      <c r="M64" s="7"/>
      <c r="N64" s="7"/>
      <c r="O64" s="7"/>
      <c r="P64" s="7"/>
      <c r="Q64" s="7"/>
      <c r="R64" s="6"/>
      <c r="S64" s="7"/>
      <c r="T64" s="7"/>
      <c r="U64" s="7"/>
      <c r="V64" s="7"/>
      <c r="W64" s="7"/>
      <c r="X64" s="7"/>
      <c r="Y64" s="7"/>
    </row>
    <row r="65" spans="1:25" ht="13.15" customHeight="1" x14ac:dyDescent="0.3">
      <c r="A65" s="7"/>
      <c r="B65" s="45" t="s">
        <v>6</v>
      </c>
      <c r="C65" s="22">
        <f>1/G61</f>
        <v>0.14285714285714285</v>
      </c>
      <c r="D65" s="22">
        <f>1/G62</f>
        <v>0.16666666666666666</v>
      </c>
      <c r="E65" s="22">
        <f>1/G63</f>
        <v>0.2</v>
      </c>
      <c r="F65" s="22">
        <f>1/G64</f>
        <v>0.33333333333333331</v>
      </c>
      <c r="G65" s="23">
        <v>1</v>
      </c>
      <c r="H65" s="21">
        <v>3</v>
      </c>
      <c r="I65" s="21">
        <v>5</v>
      </c>
      <c r="J65" s="27">
        <v>5.2827495958848135E-2</v>
      </c>
      <c r="K65" s="7"/>
      <c r="L65" s="7"/>
      <c r="M65" s="7"/>
      <c r="N65" s="7"/>
      <c r="O65" s="7"/>
      <c r="P65" s="7"/>
      <c r="Q65" s="7"/>
      <c r="R65" s="6"/>
      <c r="S65" s="7"/>
      <c r="T65" s="7"/>
      <c r="U65" s="7"/>
      <c r="V65" s="7"/>
      <c r="W65" s="7"/>
      <c r="X65" s="7"/>
      <c r="Y65" s="7"/>
    </row>
    <row r="66" spans="1:25" ht="13.15" customHeight="1" x14ac:dyDescent="0.3">
      <c r="A66" s="7"/>
      <c r="B66" s="45" t="s">
        <v>7</v>
      </c>
      <c r="C66" s="12">
        <f>1/H61</f>
        <v>0.125</v>
      </c>
      <c r="D66" s="12">
        <f>1/H62</f>
        <v>0.14285714285714285</v>
      </c>
      <c r="E66" s="12">
        <f>1/H63</f>
        <v>0.16666666666666666</v>
      </c>
      <c r="F66" s="12">
        <f>1/H64</f>
        <v>0.2</v>
      </c>
      <c r="G66" s="12">
        <f>1/H65</f>
        <v>0.33333333333333331</v>
      </c>
      <c r="H66" s="10">
        <v>1</v>
      </c>
      <c r="I66" s="16">
        <v>3</v>
      </c>
      <c r="J66" s="27">
        <v>3.1021297152746857E-2</v>
      </c>
      <c r="K66" s="7"/>
      <c r="L66" s="7"/>
      <c r="M66" s="7"/>
      <c r="N66" s="7"/>
      <c r="O66" s="7"/>
      <c r="P66" s="7"/>
      <c r="Q66" s="7"/>
      <c r="R66" s="6"/>
      <c r="S66" s="7"/>
      <c r="T66" s="7"/>
      <c r="U66" s="7"/>
      <c r="V66" s="7"/>
      <c r="W66" s="7"/>
      <c r="X66" s="7"/>
      <c r="Y66" s="7"/>
    </row>
    <row r="67" spans="1:25" ht="13.15" customHeight="1" x14ac:dyDescent="0.3">
      <c r="A67" s="7"/>
      <c r="B67" s="45" t="s">
        <v>8</v>
      </c>
      <c r="C67" s="12">
        <f>1/I61</f>
        <v>0.1111111111111111</v>
      </c>
      <c r="D67" s="12">
        <f>1/I62</f>
        <v>0.125</v>
      </c>
      <c r="E67" s="12">
        <f>1/I63</f>
        <v>0.14285714285714285</v>
      </c>
      <c r="F67" s="12">
        <f>1/I64</f>
        <v>0.16666666666666666</v>
      </c>
      <c r="G67" s="12">
        <f>1/I65</f>
        <v>0.2</v>
      </c>
      <c r="H67" s="12">
        <f>1/I66</f>
        <v>0.33333333333333331</v>
      </c>
      <c r="I67" s="10">
        <v>1</v>
      </c>
      <c r="J67" s="27">
        <v>2.0026616187521981E-2</v>
      </c>
      <c r="K67" s="7"/>
      <c r="L67" s="7"/>
      <c r="M67" s="7"/>
      <c r="N67" s="7"/>
      <c r="O67" s="7"/>
      <c r="P67" s="7"/>
      <c r="Q67" s="7"/>
      <c r="R67" s="6"/>
      <c r="S67" s="7"/>
      <c r="T67" s="7"/>
      <c r="U67" s="7"/>
      <c r="V67" s="7"/>
      <c r="W67" s="7"/>
      <c r="X67" s="7"/>
      <c r="Y67" s="7"/>
    </row>
    <row r="68" spans="1:25" ht="13.15" customHeight="1" x14ac:dyDescent="0.3">
      <c r="A68" s="7"/>
      <c r="B68" s="14"/>
      <c r="C68" s="14"/>
      <c r="D68" s="14"/>
      <c r="E68" s="7"/>
      <c r="F68" s="7"/>
      <c r="G68" s="7"/>
      <c r="H68" s="7"/>
      <c r="I68" s="42" t="s">
        <v>17</v>
      </c>
      <c r="J68" s="34">
        <v>7.6885408262191532</v>
      </c>
      <c r="K68" s="7"/>
      <c r="L68" s="7"/>
      <c r="M68" s="7"/>
      <c r="N68" s="7"/>
      <c r="O68" s="7"/>
      <c r="P68" s="7"/>
      <c r="Q68" s="7"/>
      <c r="R68" s="6"/>
      <c r="S68" s="7"/>
      <c r="T68" s="7"/>
      <c r="U68" s="7"/>
      <c r="V68" s="7"/>
      <c r="W68" s="7"/>
      <c r="X68" s="7"/>
      <c r="Y68" s="7"/>
    </row>
    <row r="69" spans="1:25" ht="13.15" customHeight="1" x14ac:dyDescent="0.3">
      <c r="A69" s="7"/>
      <c r="B69" s="14"/>
      <c r="C69" s="14"/>
      <c r="D69" s="14"/>
      <c r="E69" s="7"/>
      <c r="F69" s="7"/>
      <c r="G69" s="7"/>
      <c r="H69" s="7"/>
      <c r="I69" s="44" t="s">
        <v>4</v>
      </c>
      <c r="J69" s="34">
        <v>8.6936973007468832E-2</v>
      </c>
      <c r="K69" s="7"/>
      <c r="L69" s="7"/>
      <c r="M69" s="7"/>
      <c r="N69" s="7"/>
      <c r="O69" s="7"/>
      <c r="P69" s="7"/>
      <c r="Q69" s="7"/>
      <c r="R69" s="6"/>
      <c r="S69" s="7"/>
      <c r="T69" s="7"/>
      <c r="U69" s="7"/>
      <c r="V69" s="7"/>
      <c r="W69" s="7"/>
      <c r="X69" s="7"/>
      <c r="Y69" s="7"/>
    </row>
    <row r="70" spans="1:25" ht="13.15" customHeight="1" x14ac:dyDescent="0.3">
      <c r="A70" s="7"/>
      <c r="B70" s="14"/>
      <c r="C70" s="14"/>
      <c r="D70" s="14"/>
      <c r="E70" s="15"/>
      <c r="F70" s="17"/>
      <c r="G70" s="17"/>
      <c r="H70" s="17"/>
      <c r="I70" s="18"/>
      <c r="J70" s="7"/>
      <c r="K70" s="8"/>
      <c r="L70" s="8"/>
      <c r="M70" s="8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</row>
    <row r="71" spans="1:25" ht="13.15" customHeight="1" x14ac:dyDescent="0.3">
      <c r="A71" s="7"/>
      <c r="B71" s="14"/>
      <c r="C71" s="14"/>
      <c r="D71" s="14"/>
      <c r="E71" s="15"/>
      <c r="F71" s="17"/>
      <c r="G71" s="17"/>
      <c r="H71" s="17"/>
      <c r="I71" s="18"/>
      <c r="J71" s="7"/>
      <c r="K71" s="8"/>
      <c r="L71" s="8"/>
      <c r="M71" s="8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</row>
    <row r="72" spans="1:25" ht="13.15" customHeight="1" x14ac:dyDescent="0.3">
      <c r="A72" s="7"/>
      <c r="B72" s="14"/>
      <c r="C72" s="14"/>
      <c r="D72" s="14"/>
      <c r="E72" s="15"/>
      <c r="F72" s="17"/>
      <c r="G72" s="17"/>
      <c r="H72" s="17"/>
      <c r="I72" s="18"/>
      <c r="J72" s="7"/>
      <c r="K72" s="8"/>
      <c r="L72" s="8"/>
      <c r="M72" s="8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</row>
    <row r="73" spans="1:25" ht="13.15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16" t="s">
        <v>16</v>
      </c>
      <c r="L73" s="8"/>
      <c r="M73" s="8"/>
      <c r="N73" s="8"/>
      <c r="O73" s="8"/>
      <c r="P73" s="7"/>
      <c r="Q73" s="7"/>
      <c r="R73" s="7"/>
      <c r="S73" s="7"/>
      <c r="T73" s="7"/>
      <c r="U73" s="7"/>
      <c r="V73" s="7"/>
      <c r="W73" s="7"/>
      <c r="X73" s="7"/>
      <c r="Y73" s="7"/>
    </row>
    <row r="74" spans="1:25" ht="13.15" customHeight="1" x14ac:dyDescent="0.35">
      <c r="A74" s="7"/>
      <c r="B74" s="46"/>
      <c r="C74" s="45" t="s">
        <v>0</v>
      </c>
      <c r="D74" s="45" t="s">
        <v>1</v>
      </c>
      <c r="E74" s="45" t="s">
        <v>3</v>
      </c>
      <c r="F74" s="45" t="s">
        <v>5</v>
      </c>
      <c r="G74" s="45" t="s">
        <v>6</v>
      </c>
      <c r="H74" s="45" t="s">
        <v>7</v>
      </c>
      <c r="I74" s="45" t="s">
        <v>8</v>
      </c>
      <c r="J74" s="45" t="s">
        <v>9</v>
      </c>
      <c r="K74" s="25" t="s">
        <v>11</v>
      </c>
      <c r="L74" s="8"/>
      <c r="M74" s="8"/>
      <c r="N74" s="8"/>
      <c r="O74" s="8"/>
      <c r="P74" s="7"/>
      <c r="Q74" s="7"/>
      <c r="R74" s="6"/>
      <c r="T74" s="7"/>
      <c r="U74" s="7"/>
      <c r="V74" s="7"/>
      <c r="W74" s="7"/>
      <c r="X74" s="7"/>
      <c r="Y74" s="7"/>
    </row>
    <row r="75" spans="1:25" ht="13.15" customHeight="1" x14ac:dyDescent="0.3">
      <c r="A75" s="7"/>
      <c r="B75" s="45" t="s">
        <v>0</v>
      </c>
      <c r="C75" s="10">
        <v>1</v>
      </c>
      <c r="D75" s="16">
        <v>3</v>
      </c>
      <c r="E75" s="16">
        <v>4</v>
      </c>
      <c r="F75" s="21">
        <v>5</v>
      </c>
      <c r="G75" s="21">
        <v>6</v>
      </c>
      <c r="H75" s="21">
        <v>7</v>
      </c>
      <c r="I75" s="21">
        <v>8</v>
      </c>
      <c r="J75" s="21">
        <v>9</v>
      </c>
      <c r="K75" s="27">
        <f t="array" ref="K75:K84">AHPmat_Algebra(C75:J82)</f>
        <v>0.36899540555155907</v>
      </c>
      <c r="L75" s="8"/>
      <c r="M75" s="8"/>
      <c r="N75" s="8"/>
      <c r="O75" s="8"/>
      <c r="P75" s="8"/>
      <c r="Q75" s="7"/>
      <c r="R75" s="6"/>
      <c r="T75" s="7"/>
      <c r="U75" s="7"/>
      <c r="V75" s="7"/>
      <c r="W75" s="7"/>
      <c r="X75" s="7"/>
      <c r="Y75" s="7"/>
    </row>
    <row r="76" spans="1:25" ht="13.15" customHeight="1" x14ac:dyDescent="0.3">
      <c r="A76" s="7"/>
      <c r="B76" s="45" t="s">
        <v>1</v>
      </c>
      <c r="C76" s="12">
        <f>1/D75</f>
        <v>0.33333333333333331</v>
      </c>
      <c r="D76" s="10">
        <v>1</v>
      </c>
      <c r="E76" s="16">
        <v>2</v>
      </c>
      <c r="F76" s="21">
        <v>3</v>
      </c>
      <c r="G76" s="21">
        <v>5</v>
      </c>
      <c r="H76" s="21">
        <v>6</v>
      </c>
      <c r="I76" s="21">
        <v>7</v>
      </c>
      <c r="J76" s="21">
        <v>8</v>
      </c>
      <c r="K76" s="27">
        <v>0.21413633467852994</v>
      </c>
      <c r="L76" s="8"/>
      <c r="M76" s="8"/>
      <c r="N76" s="8"/>
      <c r="O76" s="8"/>
      <c r="P76" s="8"/>
      <c r="Q76" s="7"/>
      <c r="R76" s="6"/>
      <c r="T76" s="7"/>
      <c r="U76" s="7"/>
      <c r="V76" s="7"/>
      <c r="W76" s="7"/>
      <c r="X76" s="7"/>
      <c r="Y76" s="7"/>
    </row>
    <row r="77" spans="1:25" ht="13.15" customHeight="1" x14ac:dyDescent="0.3">
      <c r="A77" s="7"/>
      <c r="B77" s="45" t="s">
        <v>3</v>
      </c>
      <c r="C77" s="12">
        <f>1/E75</f>
        <v>0.25</v>
      </c>
      <c r="D77" s="12">
        <f>1/E76</f>
        <v>0.5</v>
      </c>
      <c r="E77" s="10">
        <v>1</v>
      </c>
      <c r="F77" s="21">
        <v>3</v>
      </c>
      <c r="G77" s="21">
        <v>4</v>
      </c>
      <c r="H77" s="21">
        <v>5</v>
      </c>
      <c r="I77" s="21">
        <v>6</v>
      </c>
      <c r="J77" s="21">
        <v>7</v>
      </c>
      <c r="K77" s="27">
        <v>0.16262319686542898</v>
      </c>
      <c r="L77" s="8"/>
      <c r="M77" s="8"/>
      <c r="N77" s="8"/>
      <c r="O77" s="8"/>
      <c r="P77" s="8"/>
      <c r="Q77" s="7"/>
      <c r="R77" s="6"/>
      <c r="T77" s="7"/>
      <c r="U77" s="7"/>
      <c r="V77" s="7"/>
      <c r="W77" s="7"/>
      <c r="X77" s="7"/>
      <c r="Y77" s="7"/>
    </row>
    <row r="78" spans="1:25" ht="13.15" customHeight="1" x14ac:dyDescent="0.3">
      <c r="A78" s="7"/>
      <c r="B78" s="45" t="s">
        <v>5</v>
      </c>
      <c r="C78" s="12">
        <f>1/F75</f>
        <v>0.2</v>
      </c>
      <c r="D78" s="12">
        <f>1/F76</f>
        <v>0.33333333333333331</v>
      </c>
      <c r="E78" s="12">
        <f>1/F77</f>
        <v>0.33333333333333331</v>
      </c>
      <c r="F78" s="10">
        <v>1</v>
      </c>
      <c r="G78" s="21">
        <v>3</v>
      </c>
      <c r="H78" s="21">
        <v>4</v>
      </c>
      <c r="I78" s="21">
        <v>5</v>
      </c>
      <c r="J78" s="21">
        <v>6</v>
      </c>
      <c r="K78" s="27">
        <v>0.10327455982710575</v>
      </c>
      <c r="L78" s="8"/>
      <c r="M78" s="8"/>
      <c r="N78" s="8"/>
      <c r="O78" s="8"/>
      <c r="P78" s="7"/>
      <c r="Q78" s="7"/>
      <c r="R78" s="6"/>
      <c r="T78" s="7"/>
      <c r="U78" s="7"/>
      <c r="V78" s="7"/>
      <c r="W78" s="7"/>
      <c r="X78" s="7"/>
      <c r="Y78" s="7"/>
    </row>
    <row r="79" spans="1:25" ht="13.15" customHeight="1" x14ac:dyDescent="0.3">
      <c r="A79" s="7"/>
      <c r="B79" s="45" t="s">
        <v>6</v>
      </c>
      <c r="C79" s="22">
        <f>1/G75</f>
        <v>0.16666666666666666</v>
      </c>
      <c r="D79" s="22">
        <f>1/G76</f>
        <v>0.2</v>
      </c>
      <c r="E79" s="22">
        <f>1/G77</f>
        <v>0.25</v>
      </c>
      <c r="F79" s="22">
        <f>1/G78</f>
        <v>0.33333333333333331</v>
      </c>
      <c r="G79" s="23">
        <v>1</v>
      </c>
      <c r="H79" s="21">
        <v>3</v>
      </c>
      <c r="I79" s="21">
        <v>4</v>
      </c>
      <c r="J79" s="21">
        <v>5</v>
      </c>
      <c r="K79" s="27">
        <v>6.4608507770495968E-2</v>
      </c>
      <c r="L79" s="8"/>
      <c r="M79" s="8"/>
      <c r="N79" s="8"/>
      <c r="O79" s="8"/>
      <c r="P79" s="7"/>
      <c r="Q79" s="7"/>
      <c r="R79" s="6"/>
      <c r="T79" s="7"/>
      <c r="U79" s="7"/>
      <c r="V79" s="7"/>
      <c r="W79" s="7"/>
      <c r="X79" s="7"/>
      <c r="Y79" s="7"/>
    </row>
    <row r="80" spans="1:25" ht="13.15" customHeight="1" x14ac:dyDescent="0.3">
      <c r="A80" s="7"/>
      <c r="B80" s="45" t="s">
        <v>7</v>
      </c>
      <c r="C80" s="12">
        <f>1/H75</f>
        <v>0.14285714285714285</v>
      </c>
      <c r="D80" s="12">
        <f>1/H76</f>
        <v>0.16666666666666666</v>
      </c>
      <c r="E80" s="12">
        <f>1/H77</f>
        <v>0.2</v>
      </c>
      <c r="F80" s="12">
        <f>1/H78</f>
        <v>0.25</v>
      </c>
      <c r="G80" s="12">
        <f>1/H79</f>
        <v>0.33333333333333331</v>
      </c>
      <c r="H80" s="10">
        <v>1</v>
      </c>
      <c r="I80" s="16">
        <v>3</v>
      </c>
      <c r="J80" s="21">
        <v>4</v>
      </c>
      <c r="K80" s="27">
        <v>4.1387893200354152E-2</v>
      </c>
      <c r="L80" s="8"/>
      <c r="M80" s="8"/>
      <c r="N80" s="8"/>
      <c r="O80" s="8"/>
      <c r="P80" s="7"/>
      <c r="Q80" s="7"/>
      <c r="R80" s="6"/>
      <c r="T80" s="7"/>
      <c r="U80" s="7"/>
      <c r="V80" s="7"/>
      <c r="W80" s="7"/>
      <c r="X80" s="7"/>
      <c r="Y80" s="7"/>
    </row>
    <row r="81" spans="1:25" ht="13.15" customHeight="1" x14ac:dyDescent="0.3">
      <c r="A81" s="7"/>
      <c r="B81" s="45" t="s">
        <v>8</v>
      </c>
      <c r="C81" s="12">
        <f>1/I75</f>
        <v>0.125</v>
      </c>
      <c r="D81" s="12">
        <f>1/I76</f>
        <v>0.14285714285714285</v>
      </c>
      <c r="E81" s="12">
        <f>1/I77</f>
        <v>0.16666666666666666</v>
      </c>
      <c r="F81" s="12">
        <f>1/I78</f>
        <v>0.2</v>
      </c>
      <c r="G81" s="12">
        <f>1/I79</f>
        <v>0.25</v>
      </c>
      <c r="H81" s="12">
        <f>1/I80</f>
        <v>0.33333333333333331</v>
      </c>
      <c r="I81" s="10">
        <v>1</v>
      </c>
      <c r="J81" s="16">
        <v>3</v>
      </c>
      <c r="K81" s="27">
        <v>2.6883167974827676E-2</v>
      </c>
      <c r="L81" s="8"/>
      <c r="M81" s="8"/>
      <c r="N81" s="8"/>
      <c r="O81" s="8"/>
      <c r="P81" s="7"/>
      <c r="Q81" s="7"/>
      <c r="R81" s="6"/>
      <c r="T81" s="7"/>
      <c r="U81" s="7"/>
      <c r="V81" s="7"/>
      <c r="W81" s="7"/>
      <c r="X81" s="7"/>
      <c r="Y81" s="7"/>
    </row>
    <row r="82" spans="1:25" ht="13.15" customHeight="1" x14ac:dyDescent="0.3">
      <c r="A82" s="7"/>
      <c r="B82" s="45" t="s">
        <v>9</v>
      </c>
      <c r="C82" s="12">
        <f>1/J75</f>
        <v>0.1111111111111111</v>
      </c>
      <c r="D82" s="12">
        <f>1/J76</f>
        <v>0.125</v>
      </c>
      <c r="E82" s="12">
        <f>1/J77</f>
        <v>0.14285714285714285</v>
      </c>
      <c r="F82" s="12">
        <f>1/J78</f>
        <v>0.16666666666666666</v>
      </c>
      <c r="G82" s="12">
        <f>1/J79</f>
        <v>0.2</v>
      </c>
      <c r="H82" s="12">
        <f>1/J80</f>
        <v>0.25</v>
      </c>
      <c r="I82" s="12">
        <f>1/J81</f>
        <v>0.33333333333333331</v>
      </c>
      <c r="J82" s="10">
        <v>1</v>
      </c>
      <c r="K82" s="27">
        <v>1.8090934131698464E-2</v>
      </c>
      <c r="L82" s="8"/>
      <c r="M82" s="8"/>
      <c r="N82" s="8"/>
      <c r="O82" s="8"/>
      <c r="P82" s="7"/>
      <c r="Q82" s="7"/>
      <c r="R82" s="6"/>
      <c r="T82" s="7"/>
      <c r="U82" s="7"/>
      <c r="V82" s="7"/>
      <c r="W82" s="7"/>
      <c r="X82" s="7"/>
      <c r="Y82" s="7"/>
    </row>
    <row r="83" spans="1:25" ht="13.15" customHeight="1" x14ac:dyDescent="0.3">
      <c r="A83" s="7"/>
      <c r="B83" s="14"/>
      <c r="C83" s="14"/>
      <c r="D83" s="14"/>
      <c r="E83" s="15"/>
      <c r="F83" s="17"/>
      <c r="G83" s="7"/>
      <c r="H83" s="7"/>
      <c r="I83" s="7"/>
      <c r="J83" s="42" t="s">
        <v>17</v>
      </c>
      <c r="K83" s="34">
        <v>8.7630360637158162</v>
      </c>
      <c r="L83" s="8"/>
      <c r="M83" s="8"/>
      <c r="N83" s="8"/>
      <c r="O83" s="8"/>
      <c r="P83" s="7"/>
      <c r="Q83" s="7"/>
      <c r="R83" s="6"/>
      <c r="T83" s="7"/>
      <c r="U83" s="7"/>
      <c r="V83" s="7"/>
      <c r="W83" s="7"/>
      <c r="X83" s="7"/>
      <c r="Y83" s="7"/>
    </row>
    <row r="84" spans="1:25" ht="13.15" customHeight="1" x14ac:dyDescent="0.3">
      <c r="A84" s="7"/>
      <c r="B84" s="14"/>
      <c r="C84" s="14"/>
      <c r="D84" s="14"/>
      <c r="E84" s="15"/>
      <c r="F84" s="17"/>
      <c r="G84" s="7"/>
      <c r="H84" s="7"/>
      <c r="I84" s="7"/>
      <c r="J84" s="44" t="s">
        <v>4</v>
      </c>
      <c r="K84" s="34">
        <v>7.7308618410923638E-2</v>
      </c>
      <c r="L84" s="8"/>
      <c r="M84" s="8"/>
      <c r="N84" s="8"/>
      <c r="O84" s="8"/>
      <c r="P84" s="7"/>
      <c r="Q84" s="7"/>
      <c r="R84" s="6"/>
      <c r="T84" s="7"/>
      <c r="U84" s="7"/>
      <c r="V84" s="7"/>
      <c r="W84" s="7"/>
      <c r="X84" s="7"/>
      <c r="Y84" s="7"/>
    </row>
    <row r="85" spans="1:25" ht="13.15" customHeight="1" x14ac:dyDescent="0.3">
      <c r="A85" s="7"/>
      <c r="B85" s="14"/>
      <c r="C85" s="14"/>
      <c r="D85" s="14"/>
      <c r="E85" s="15"/>
      <c r="F85" s="17"/>
      <c r="G85" s="17"/>
      <c r="H85" s="17"/>
      <c r="I85" s="17"/>
      <c r="J85" s="18"/>
      <c r="K85" s="7"/>
      <c r="L85" s="8"/>
      <c r="M85" s="8"/>
      <c r="N85" s="8"/>
      <c r="O85" s="8"/>
      <c r="P85" s="7"/>
      <c r="Q85" s="7"/>
      <c r="R85" s="7"/>
      <c r="S85" s="7"/>
      <c r="T85" s="7"/>
      <c r="U85" s="7"/>
      <c r="V85" s="7"/>
      <c r="W85" s="7"/>
      <c r="X85" s="7"/>
      <c r="Y85" s="7"/>
    </row>
    <row r="86" spans="1:25" ht="13.15" customHeight="1" x14ac:dyDescent="0.3">
      <c r="A86" s="7"/>
      <c r="B86" s="14"/>
      <c r="C86" s="14"/>
      <c r="D86" s="14"/>
      <c r="E86" s="15"/>
      <c r="F86" s="17"/>
      <c r="G86" s="17"/>
      <c r="H86" s="17"/>
      <c r="I86" s="17"/>
      <c r="J86" s="18"/>
      <c r="K86" s="7"/>
      <c r="L86" s="7"/>
      <c r="M86" s="7"/>
      <c r="N86" s="8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</row>
    <row r="87" spans="1:25" ht="13.15" customHeight="1" x14ac:dyDescent="0.3">
      <c r="A87" s="7"/>
      <c r="B87" s="14"/>
      <c r="C87" s="14"/>
      <c r="D87" s="14"/>
      <c r="E87" s="15"/>
      <c r="F87" s="17"/>
      <c r="G87" s="17"/>
      <c r="H87" s="17"/>
      <c r="I87" s="17"/>
      <c r="J87" s="18"/>
      <c r="K87" s="7"/>
      <c r="L87" s="8"/>
      <c r="M87" s="8"/>
      <c r="N87" s="8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</row>
    <row r="88" spans="1:25" ht="13.15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16" t="s">
        <v>16</v>
      </c>
      <c r="M88" s="8"/>
      <c r="N88" s="8"/>
      <c r="O88" s="8"/>
      <c r="P88" s="7"/>
      <c r="Q88" s="7"/>
      <c r="R88" s="7"/>
      <c r="S88" s="7"/>
      <c r="T88" s="7"/>
      <c r="U88" s="7"/>
      <c r="V88" s="7"/>
      <c r="W88" s="7"/>
      <c r="X88" s="7"/>
      <c r="Y88" s="7"/>
    </row>
    <row r="89" spans="1:25" ht="13.15" customHeight="1" x14ac:dyDescent="0.35">
      <c r="A89" s="7"/>
      <c r="B89" s="46"/>
      <c r="C89" s="45" t="s">
        <v>0</v>
      </c>
      <c r="D89" s="45" t="s">
        <v>1</v>
      </c>
      <c r="E89" s="45" t="s">
        <v>3</v>
      </c>
      <c r="F89" s="45" t="s">
        <v>5</v>
      </c>
      <c r="G89" s="45" t="s">
        <v>6</v>
      </c>
      <c r="H89" s="45" t="s">
        <v>7</v>
      </c>
      <c r="I89" s="45" t="s">
        <v>8</v>
      </c>
      <c r="J89" s="45" t="s">
        <v>9</v>
      </c>
      <c r="K89" s="45" t="s">
        <v>10</v>
      </c>
      <c r="L89" s="25" t="s">
        <v>11</v>
      </c>
      <c r="M89" s="8"/>
      <c r="N89" s="8"/>
      <c r="O89" s="8"/>
      <c r="P89" s="8"/>
      <c r="Q89" s="7"/>
      <c r="R89" s="6"/>
      <c r="U89" s="7"/>
      <c r="V89" s="7"/>
      <c r="W89" s="7"/>
      <c r="X89" s="7"/>
      <c r="Y89" s="7"/>
    </row>
    <row r="90" spans="1:25" ht="13.15" customHeight="1" x14ac:dyDescent="0.3">
      <c r="A90" s="7"/>
      <c r="B90" s="45" t="s">
        <v>0</v>
      </c>
      <c r="C90" s="10">
        <v>1</v>
      </c>
      <c r="D90" s="16">
        <v>2</v>
      </c>
      <c r="E90" s="16">
        <v>3</v>
      </c>
      <c r="F90" s="21">
        <v>4</v>
      </c>
      <c r="G90" s="21">
        <v>5</v>
      </c>
      <c r="H90" s="21">
        <v>6</v>
      </c>
      <c r="I90" s="21">
        <v>7</v>
      </c>
      <c r="J90" s="21">
        <v>8</v>
      </c>
      <c r="K90" s="21">
        <v>9</v>
      </c>
      <c r="L90" s="27">
        <f t="array" ref="L90:L100">AHPmat_Algebra(C90:K98)</f>
        <v>0.31211039830421894</v>
      </c>
      <c r="M90" s="8"/>
      <c r="N90" s="8"/>
      <c r="O90" s="8"/>
      <c r="P90" s="7"/>
      <c r="Q90" s="8"/>
      <c r="R90" s="6"/>
      <c r="U90" s="7"/>
      <c r="V90" s="7"/>
      <c r="W90" s="7"/>
      <c r="X90" s="7"/>
      <c r="Y90" s="7"/>
    </row>
    <row r="91" spans="1:25" ht="13.15" customHeight="1" x14ac:dyDescent="0.3">
      <c r="A91" s="7"/>
      <c r="B91" s="45" t="s">
        <v>1</v>
      </c>
      <c r="C91" s="12">
        <f>1/D90</f>
        <v>0.5</v>
      </c>
      <c r="D91" s="10">
        <v>1</v>
      </c>
      <c r="E91" s="16">
        <v>2</v>
      </c>
      <c r="F91" s="21">
        <v>3</v>
      </c>
      <c r="G91" s="21">
        <v>4</v>
      </c>
      <c r="H91" s="21">
        <v>5</v>
      </c>
      <c r="I91" s="21">
        <v>6</v>
      </c>
      <c r="J91" s="21">
        <v>7</v>
      </c>
      <c r="K91" s="21">
        <v>8</v>
      </c>
      <c r="L91" s="27">
        <v>0.22234235096640378</v>
      </c>
      <c r="M91" s="8"/>
      <c r="N91" s="8"/>
      <c r="O91" s="8"/>
      <c r="P91" s="8"/>
      <c r="Q91" s="8"/>
      <c r="R91" s="6"/>
      <c r="U91" s="7"/>
      <c r="V91" s="7"/>
      <c r="W91" s="7"/>
      <c r="X91" s="7"/>
      <c r="Y91" s="7"/>
    </row>
    <row r="92" spans="1:25" ht="13.15" customHeight="1" x14ac:dyDescent="0.3">
      <c r="A92" s="7"/>
      <c r="B92" s="45" t="s">
        <v>3</v>
      </c>
      <c r="C92" s="12">
        <f>1/E90</f>
        <v>0.33333333333333331</v>
      </c>
      <c r="D92" s="12">
        <f>1/E91</f>
        <v>0.5</v>
      </c>
      <c r="E92" s="10">
        <v>1</v>
      </c>
      <c r="F92" s="21">
        <v>2</v>
      </c>
      <c r="G92" s="21">
        <v>3</v>
      </c>
      <c r="H92" s="21">
        <v>4</v>
      </c>
      <c r="I92" s="21">
        <v>5</v>
      </c>
      <c r="J92" s="21">
        <v>6</v>
      </c>
      <c r="K92" s="21">
        <v>7</v>
      </c>
      <c r="L92" s="27">
        <v>0.15546537382713721</v>
      </c>
      <c r="M92" s="8"/>
      <c r="N92" s="8"/>
      <c r="O92" s="8"/>
      <c r="P92" s="8"/>
      <c r="Q92" s="8"/>
      <c r="R92" s="6"/>
      <c r="U92" s="7"/>
      <c r="V92" s="7"/>
      <c r="W92" s="7"/>
      <c r="X92" s="7"/>
      <c r="Y92" s="7"/>
    </row>
    <row r="93" spans="1:25" ht="13.15" customHeight="1" x14ac:dyDescent="0.3">
      <c r="A93" s="7"/>
      <c r="B93" s="45" t="s">
        <v>5</v>
      </c>
      <c r="C93" s="12">
        <f>1/F90</f>
        <v>0.25</v>
      </c>
      <c r="D93" s="12">
        <f>1/F91</f>
        <v>0.33333333333333331</v>
      </c>
      <c r="E93" s="12">
        <f>1/F92</f>
        <v>0.5</v>
      </c>
      <c r="F93" s="10">
        <v>1</v>
      </c>
      <c r="G93" s="21">
        <v>2</v>
      </c>
      <c r="H93" s="21">
        <v>3</v>
      </c>
      <c r="I93" s="21">
        <v>4</v>
      </c>
      <c r="J93" s="21">
        <v>5</v>
      </c>
      <c r="K93" s="21">
        <v>6</v>
      </c>
      <c r="L93" s="27">
        <v>0.1075064422151332</v>
      </c>
      <c r="M93" s="8"/>
      <c r="N93" s="8"/>
      <c r="O93" s="8"/>
      <c r="P93" s="8"/>
      <c r="Q93" s="7"/>
      <c r="R93" s="6"/>
      <c r="U93" s="7"/>
      <c r="V93" s="7"/>
      <c r="W93" s="7"/>
      <c r="X93" s="7"/>
      <c r="Y93" s="7"/>
    </row>
    <row r="94" spans="1:25" ht="13.15" customHeight="1" x14ac:dyDescent="0.3">
      <c r="A94" s="7"/>
      <c r="B94" s="45" t="s">
        <v>6</v>
      </c>
      <c r="C94" s="22">
        <f>1/G90</f>
        <v>0.2</v>
      </c>
      <c r="D94" s="22">
        <f>1/G91</f>
        <v>0.25</v>
      </c>
      <c r="E94" s="22">
        <f>1/G92</f>
        <v>0.33333333333333331</v>
      </c>
      <c r="F94" s="22">
        <f>1/G93</f>
        <v>0.5</v>
      </c>
      <c r="G94" s="23">
        <v>1</v>
      </c>
      <c r="H94" s="21">
        <v>2</v>
      </c>
      <c r="I94" s="21">
        <v>3</v>
      </c>
      <c r="J94" s="21">
        <v>4</v>
      </c>
      <c r="K94" s="21">
        <v>5</v>
      </c>
      <c r="L94" s="27">
        <v>7.3854667447270858E-2</v>
      </c>
      <c r="M94" s="8"/>
      <c r="N94" s="8"/>
      <c r="O94" s="8"/>
      <c r="P94" s="8"/>
      <c r="Q94" s="7"/>
      <c r="R94" s="6"/>
      <c r="U94" s="7"/>
      <c r="V94" s="7"/>
      <c r="W94" s="7"/>
      <c r="X94" s="7"/>
      <c r="Y94" s="7"/>
    </row>
    <row r="95" spans="1:25" ht="13.15" customHeight="1" x14ac:dyDescent="0.3">
      <c r="A95" s="7"/>
      <c r="B95" s="45" t="s">
        <v>7</v>
      </c>
      <c r="C95" s="12">
        <f>1/H90</f>
        <v>0.16666666666666666</v>
      </c>
      <c r="D95" s="12">
        <f>1/H91</f>
        <v>0.2</v>
      </c>
      <c r="E95" s="12">
        <f>1/H92</f>
        <v>0.25</v>
      </c>
      <c r="F95" s="12">
        <f>1/H93</f>
        <v>0.33333333333333331</v>
      </c>
      <c r="G95" s="12">
        <f>1/H94</f>
        <v>0.5</v>
      </c>
      <c r="H95" s="10">
        <v>1</v>
      </c>
      <c r="I95" s="16">
        <v>2</v>
      </c>
      <c r="J95" s="21">
        <v>3</v>
      </c>
      <c r="K95" s="21">
        <v>4</v>
      </c>
      <c r="L95" s="27">
        <v>5.0662140713562162E-2</v>
      </c>
      <c r="M95" s="8"/>
      <c r="N95" s="8"/>
      <c r="O95" s="8"/>
      <c r="P95" s="8"/>
      <c r="Q95" s="7"/>
      <c r="R95" s="6"/>
      <c r="U95" s="7"/>
      <c r="V95" s="7"/>
      <c r="W95" s="7"/>
      <c r="X95" s="7"/>
      <c r="Y95" s="7"/>
    </row>
    <row r="96" spans="1:25" ht="13.15" customHeight="1" x14ac:dyDescent="0.3">
      <c r="A96" s="7"/>
      <c r="B96" s="45" t="s">
        <v>8</v>
      </c>
      <c r="C96" s="12">
        <f>1/I90</f>
        <v>0.14285714285714285</v>
      </c>
      <c r="D96" s="12">
        <f>1/I91</f>
        <v>0.16666666666666666</v>
      </c>
      <c r="E96" s="12">
        <f>1/I92</f>
        <v>0.2</v>
      </c>
      <c r="F96" s="12">
        <f>1/I93</f>
        <v>0.25</v>
      </c>
      <c r="G96" s="12">
        <f>1/I94</f>
        <v>0.33333333333333331</v>
      </c>
      <c r="H96" s="12">
        <f>1/I95</f>
        <v>0.5</v>
      </c>
      <c r="I96" s="10">
        <v>1</v>
      </c>
      <c r="J96" s="16">
        <v>2</v>
      </c>
      <c r="K96" s="16">
        <v>3</v>
      </c>
      <c r="L96" s="27">
        <v>3.4997064310458049E-2</v>
      </c>
      <c r="M96" s="8"/>
      <c r="N96" s="8"/>
      <c r="O96" s="8"/>
      <c r="P96" s="8"/>
      <c r="Q96" s="7"/>
      <c r="R96" s="6"/>
      <c r="U96" s="7"/>
      <c r="V96" s="7"/>
      <c r="W96" s="7"/>
      <c r="X96" s="7"/>
      <c r="Y96" s="7"/>
    </row>
    <row r="97" spans="1:25" ht="13.15" customHeight="1" x14ac:dyDescent="0.3">
      <c r="A97" s="7"/>
      <c r="B97" s="45" t="s">
        <v>9</v>
      </c>
      <c r="C97" s="12">
        <f>1/J90</f>
        <v>0.125</v>
      </c>
      <c r="D97" s="12">
        <f>1/J91</f>
        <v>0.14285714285714285</v>
      </c>
      <c r="E97" s="12">
        <f>1/J92</f>
        <v>0.16666666666666666</v>
      </c>
      <c r="F97" s="12">
        <f>1/J93</f>
        <v>0.2</v>
      </c>
      <c r="G97" s="12">
        <f>1/J94</f>
        <v>0.25</v>
      </c>
      <c r="H97" s="12">
        <f>1/J95</f>
        <v>0.33333333333333331</v>
      </c>
      <c r="I97" s="12">
        <f>1/J96</f>
        <v>0.5</v>
      </c>
      <c r="J97" s="10">
        <v>1</v>
      </c>
      <c r="K97" s="16">
        <v>2</v>
      </c>
      <c r="L97" s="27">
        <v>2.4723789451551327E-2</v>
      </c>
      <c r="M97" s="8"/>
      <c r="N97" s="8"/>
      <c r="O97" s="8"/>
      <c r="P97" s="8"/>
      <c r="Q97" s="7"/>
      <c r="R97" s="6"/>
      <c r="U97" s="7"/>
      <c r="V97" s="7"/>
      <c r="W97" s="7"/>
      <c r="X97" s="7"/>
      <c r="Y97" s="7"/>
    </row>
    <row r="98" spans="1:25" ht="13.15" customHeight="1" x14ac:dyDescent="0.3">
      <c r="A98" s="7"/>
      <c r="B98" s="45" t="s">
        <v>10</v>
      </c>
      <c r="C98" s="12">
        <f>1/K90</f>
        <v>0.1111111111111111</v>
      </c>
      <c r="D98" s="12">
        <f>1/K91</f>
        <v>0.125</v>
      </c>
      <c r="E98" s="12">
        <f>1/K92</f>
        <v>0.14285714285714285</v>
      </c>
      <c r="F98" s="12">
        <f>1/K93</f>
        <v>0.16666666666666666</v>
      </c>
      <c r="G98" s="12">
        <f>1/K94</f>
        <v>0.2</v>
      </c>
      <c r="H98" s="12">
        <f>1/K95</f>
        <v>0.25</v>
      </c>
      <c r="I98" s="12">
        <f>1/K96</f>
        <v>0.33333333333333331</v>
      </c>
      <c r="J98" s="12">
        <f>1/K97</f>
        <v>0.5</v>
      </c>
      <c r="K98" s="10">
        <v>1</v>
      </c>
      <c r="L98" s="27">
        <v>1.8337772764264511E-2</v>
      </c>
      <c r="M98" s="8"/>
      <c r="N98" s="8"/>
      <c r="O98" s="8"/>
      <c r="P98" s="8"/>
      <c r="Q98" s="7"/>
      <c r="R98" s="6"/>
      <c r="U98" s="7"/>
      <c r="V98" s="7"/>
      <c r="W98" s="7"/>
      <c r="X98" s="7"/>
      <c r="Y98" s="7"/>
    </row>
    <row r="99" spans="1:25" ht="13.15" customHeight="1" x14ac:dyDescent="0.3">
      <c r="A99" s="7"/>
      <c r="B99" s="14"/>
      <c r="C99" s="14"/>
      <c r="D99" s="14"/>
      <c r="E99" s="15"/>
      <c r="F99" s="17"/>
      <c r="G99" s="17"/>
      <c r="H99" s="17"/>
      <c r="I99" s="17"/>
      <c r="J99" s="7"/>
      <c r="K99" s="42" t="s">
        <v>17</v>
      </c>
      <c r="L99" s="34">
        <v>9.4013942140454212</v>
      </c>
      <c r="M99" s="8"/>
      <c r="N99" s="8"/>
      <c r="O99" s="8"/>
      <c r="P99" s="8"/>
      <c r="Q99" s="7"/>
      <c r="R99" s="6"/>
      <c r="U99" s="7"/>
      <c r="V99" s="7"/>
      <c r="W99" s="7"/>
      <c r="X99" s="7"/>
      <c r="Y99" s="7"/>
    </row>
    <row r="100" spans="1:25" ht="13.15" customHeight="1" x14ac:dyDescent="0.3">
      <c r="A100" s="7"/>
      <c r="B100" s="14"/>
      <c r="C100" s="14"/>
      <c r="D100" s="14"/>
      <c r="E100" s="15"/>
      <c r="F100" s="17"/>
      <c r="G100" s="17"/>
      <c r="H100" s="17"/>
      <c r="I100" s="17"/>
      <c r="J100" s="17"/>
      <c r="K100" s="44" t="s">
        <v>4</v>
      </c>
      <c r="L100" s="34">
        <v>3.4602949486674243E-2</v>
      </c>
      <c r="M100" s="8"/>
      <c r="N100" s="8"/>
      <c r="O100" s="8"/>
      <c r="P100" s="7"/>
      <c r="Q100" s="7"/>
      <c r="R100" s="6"/>
      <c r="U100" s="7"/>
      <c r="V100" s="7"/>
      <c r="W100" s="7"/>
      <c r="X100" s="7"/>
      <c r="Y100" s="7"/>
    </row>
    <row r="101" spans="1:25" ht="13.15" customHeight="1" x14ac:dyDescent="0.3">
      <c r="A101" s="7"/>
      <c r="B101" s="14"/>
      <c r="C101" s="14"/>
      <c r="D101" s="14"/>
      <c r="E101" s="15"/>
      <c r="F101" s="17"/>
      <c r="G101" s="17"/>
      <c r="H101" s="17"/>
      <c r="I101" s="17"/>
      <c r="J101" s="7"/>
      <c r="K101" s="7"/>
      <c r="L101" s="7"/>
      <c r="M101" s="18"/>
      <c r="N101" s="7"/>
      <c r="O101" s="8"/>
      <c r="P101" s="7"/>
      <c r="Q101" s="7"/>
      <c r="R101" s="7"/>
      <c r="S101" s="7"/>
      <c r="T101" s="7"/>
      <c r="U101" s="7"/>
      <c r="V101" s="7"/>
      <c r="W101" s="7"/>
      <c r="X101" s="7"/>
      <c r="Y101" s="7"/>
    </row>
    <row r="102" spans="1:25" ht="13.15" customHeight="1" x14ac:dyDescent="0.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</row>
    <row r="103" spans="1:25" ht="13.15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</row>
    <row r="104" spans="1:25" ht="13.15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</row>
    <row r="105" spans="1:25" ht="13.15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</row>
    <row r="106" spans="1:25" ht="13.15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</row>
    <row r="107" spans="1:25" ht="13.15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</row>
    <row r="108" spans="1:25" ht="13.15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</row>
    <row r="109" spans="1:25" ht="13.15" customHeight="1" x14ac:dyDescent="0.3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6"/>
    </row>
    <row r="110" spans="1:25" ht="13.15" customHeight="1" x14ac:dyDescent="0.3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</row>
    <row r="111" spans="1:25" ht="13.15" customHeight="1" x14ac:dyDescent="0.3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</row>
    <row r="112" spans="1:25" ht="13.15" customHeight="1" x14ac:dyDescent="0.3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</row>
    <row r="113" spans="1:17" ht="13.15" customHeight="1" x14ac:dyDescent="0.3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</row>
    <row r="114" spans="1:17" ht="13.15" customHeight="1" x14ac:dyDescent="0.3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</row>
    <row r="115" spans="1:17" ht="13.15" customHeight="1" x14ac:dyDescent="0.3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</row>
    <row r="116" spans="1:17" ht="13.15" customHeight="1" x14ac:dyDescent="0.3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</row>
    <row r="117" spans="1:17" ht="13.15" customHeight="1" x14ac:dyDescent="0.3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</row>
    <row r="118" spans="1:17" ht="13.15" customHeight="1" x14ac:dyDescent="0.3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</row>
    <row r="119" spans="1:17" ht="13.1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</row>
    <row r="120" spans="1:17" ht="13.1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</row>
    <row r="121" spans="1:17" ht="13.1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17" ht="13.1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7" ht="13.1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</row>
    <row r="124" spans="1:17" ht="13.1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</row>
    <row r="125" spans="1:17" ht="13.1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</row>
    <row r="126" spans="1:17" ht="13.1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17" ht="13.1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</row>
    <row r="128" spans="1:17" ht="13.1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</row>
    <row r="129" spans="1:16" ht="13.1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</row>
    <row r="130" spans="1:16" ht="13.1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</row>
    <row r="131" spans="1:16" ht="13.1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</row>
    <row r="132" spans="1:16" ht="13.1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</row>
    <row r="133" spans="1:16" ht="13.1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</row>
    <row r="134" spans="1:16" ht="13.1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</row>
    <row r="135" spans="1:16" ht="13.1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</row>
    <row r="136" spans="1:16" ht="13.1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</row>
    <row r="137" spans="1:16" ht="13.1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</row>
    <row r="138" spans="1:16" ht="13.1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</row>
    <row r="139" spans="1:16" ht="13.1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</row>
    <row r="140" spans="1:16" ht="13.1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</row>
    <row r="141" spans="1:16" ht="13.1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</row>
    <row r="142" spans="1:16" ht="13.1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</row>
    <row r="143" spans="1:16" ht="13.1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</row>
    <row r="144" spans="1:16" ht="13.1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</row>
    <row r="145" spans="1:16" ht="13.1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</row>
    <row r="146" spans="1:16" ht="13.1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</row>
    <row r="147" spans="1:16" ht="13.1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</row>
    <row r="148" spans="1:16" ht="13.1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</row>
    <row r="149" spans="1:16" ht="13.1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</row>
    <row r="150" spans="1:16" ht="13.1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</row>
    <row r="151" spans="1:16" ht="13.1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</row>
    <row r="152" spans="1:16" ht="13.1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</row>
    <row r="153" spans="1:16" ht="13.1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</row>
    <row r="154" spans="1:16" ht="13.1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</row>
    <row r="155" spans="1:16" ht="13.1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</row>
    <row r="156" spans="1:16" ht="13.1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</row>
    <row r="157" spans="1:16" ht="13.1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</row>
    <row r="158" spans="1:16" ht="13.1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</row>
    <row r="159" spans="1:16" ht="13.1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</row>
    <row r="160" spans="1:16" ht="13.1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</row>
    <row r="161" spans="1:16" ht="13.1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</row>
    <row r="162" spans="1:16" ht="13.1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</row>
    <row r="163" spans="1:16" ht="13.1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</row>
    <row r="164" spans="1:16" ht="13.1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</row>
    <row r="165" spans="1:16" ht="13.1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</row>
    <row r="166" spans="1:16" ht="13.1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</row>
    <row r="167" spans="1:16" ht="13.1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</row>
    <row r="168" spans="1:16" ht="13.1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</row>
    <row r="169" spans="1:16" ht="13.1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</row>
    <row r="170" spans="1:16" ht="13.1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</row>
    <row r="171" spans="1:16" ht="13.1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</row>
    <row r="172" spans="1:16" ht="13.1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</row>
    <row r="173" spans="1:16" ht="13.1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</row>
    <row r="174" spans="1:16" ht="13.1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</row>
    <row r="175" spans="1:16" ht="13.1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</row>
    <row r="176" spans="1:16" ht="13.1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</row>
    <row r="177" spans="1:16" ht="13.1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</row>
    <row r="178" spans="1:16" ht="13.1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</row>
    <row r="179" spans="1:16" ht="13.1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</row>
    <row r="180" spans="1:16" ht="13.1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</row>
    <row r="181" spans="1:16" ht="13.1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</row>
    <row r="182" spans="1:16" ht="13.1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</row>
    <row r="183" spans="1:16" ht="13.1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</row>
    <row r="184" spans="1:16" ht="13.1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</row>
    <row r="185" spans="1:16" ht="13.1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</row>
    <row r="186" spans="1:16" ht="13.1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</row>
    <row r="187" spans="1:16" ht="13.1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</row>
    <row r="188" spans="1:16" ht="13.1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</row>
    <row r="189" spans="1:16" ht="13.1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</row>
    <row r="190" spans="1:16" ht="13.1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</row>
    <row r="191" spans="1:16" ht="13.1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</row>
    <row r="192" spans="1:16" ht="13.1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</row>
    <row r="193" spans="1:16" ht="13.1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</row>
    <row r="194" spans="1:16" ht="13.1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</row>
    <row r="195" spans="1:16" ht="13.1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</row>
    <row r="196" spans="1:16" ht="13.1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</row>
    <row r="197" spans="1:16" ht="13.1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</row>
    <row r="198" spans="1:16" ht="13.1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</row>
    <row r="199" spans="1:16" ht="13.1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</row>
    <row r="200" spans="1:16" ht="13.1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</row>
    <row r="201" spans="1:16" ht="13.1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</row>
    <row r="202" spans="1:16" ht="13.1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</row>
    <row r="203" spans="1:16" ht="13.1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</row>
    <row r="204" spans="1:16" ht="13.1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</row>
    <row r="205" spans="1:16" ht="13.1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</row>
    <row r="206" spans="1:16" ht="13.1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</row>
    <row r="207" spans="1:16" ht="13.1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</row>
    <row r="208" spans="1:16" ht="13.1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</row>
    <row r="209" spans="1:16" ht="13.1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</row>
    <row r="210" spans="1:16" ht="13.1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</row>
    <row r="211" spans="1:16" ht="13.1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</row>
    <row r="212" spans="1:16" ht="13.1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</row>
    <row r="213" spans="1:16" ht="13.1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</row>
    <row r="214" spans="1:16" ht="13.1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</row>
    <row r="215" spans="1:16" ht="13.1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</row>
    <row r="216" spans="1:16" ht="13.1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</row>
    <row r="217" spans="1:16" ht="13.1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</row>
    <row r="218" spans="1:16" ht="13.1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</row>
    <row r="219" spans="1:16" ht="13.1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</row>
    <row r="220" spans="1:16" ht="13.1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</row>
    <row r="221" spans="1:16" ht="13.1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</row>
    <row r="222" spans="1:16" ht="13.1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</row>
    <row r="223" spans="1:16" ht="13.1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</row>
    <row r="224" spans="1:16" ht="13.1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</row>
    <row r="225" spans="1:16" ht="13.1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</row>
    <row r="226" spans="1:16" ht="13.1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</row>
    <row r="227" spans="1:16" ht="13.1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</row>
    <row r="228" spans="1:16" ht="13.1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</row>
    <row r="229" spans="1:16" ht="13.1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</row>
    <row r="230" spans="1:16" ht="13.1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</row>
    <row r="231" spans="1:16" ht="13.1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</row>
    <row r="232" spans="1:16" ht="13.1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</row>
    <row r="233" spans="1:16" ht="13.1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</row>
    <row r="234" spans="1:16" ht="13.1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</row>
    <row r="235" spans="1:16" ht="13.1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</row>
    <row r="236" spans="1:16" ht="13.1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</row>
    <row r="237" spans="1:16" ht="13.1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</row>
    <row r="238" spans="1:16" ht="13.1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</row>
    <row r="239" spans="1:16" ht="13.1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</row>
    <row r="240" spans="1:16" ht="13.1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</row>
    <row r="241" spans="1:16" ht="13.1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</row>
    <row r="242" spans="1:16" ht="13.1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</row>
    <row r="243" spans="1:16" ht="13.1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</row>
    <row r="244" spans="1:16" ht="13.1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</row>
    <row r="245" spans="1:16" ht="13.1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</row>
    <row r="246" spans="1:16" ht="13.1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</row>
    <row r="247" spans="1:16" ht="13.1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</row>
    <row r="248" spans="1:16" ht="13.1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</row>
    <row r="249" spans="1:16" ht="13.1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</row>
    <row r="250" spans="1:16" ht="13.15" customHeight="1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</row>
    <row r="251" spans="1:16" ht="13.15" customHeight="1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</row>
    <row r="252" spans="1:16" ht="13.15" customHeight="1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</row>
    <row r="253" spans="1:16" ht="13.15" customHeight="1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</row>
    <row r="254" spans="1:16" ht="13.15" customHeight="1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</row>
    <row r="255" spans="1:16" ht="13.15" customHeight="1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</row>
    <row r="256" spans="1:16" ht="13.15" customHeight="1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</row>
    <row r="257" spans="1:16" ht="13.15" customHeight="1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</row>
    <row r="258" spans="1:16" ht="13.15" customHeight="1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</row>
    <row r="259" spans="1:16" ht="13.15" customHeight="1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</row>
    <row r="260" spans="1:16" ht="13.15" customHeight="1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</row>
    <row r="261" spans="1:16" ht="13.15" customHeight="1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</row>
    <row r="262" spans="1:16" ht="13.15" customHeight="1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</row>
    <row r="263" spans="1:16" ht="13.15" customHeight="1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</row>
    <row r="264" spans="1:16" ht="13.15" customHeight="1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</row>
    <row r="265" spans="1:16" ht="13.15" customHeight="1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</row>
    <row r="266" spans="1:16" ht="13.15" customHeight="1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</row>
    <row r="267" spans="1:16" ht="13.15" customHeight="1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</row>
    <row r="268" spans="1:16" ht="13.15" customHeight="1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</row>
    <row r="269" spans="1:16" ht="13.15" customHeight="1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</row>
    <row r="270" spans="1:16" ht="13.15" customHeight="1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</row>
    <row r="271" spans="1:16" ht="13.15" customHeight="1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</row>
    <row r="272" spans="1:16" ht="13.15" customHeight="1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</row>
    <row r="273" spans="1:16" ht="13.15" customHeight="1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</row>
    <row r="274" spans="1:16" ht="13.15" customHeight="1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</row>
    <row r="275" spans="1:16" ht="13.15" customHeight="1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</row>
    <row r="276" spans="1:16" ht="13.15" customHeight="1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</row>
    <row r="277" spans="1:16" ht="13.15" customHeight="1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</row>
    <row r="278" spans="1:16" ht="13.15" customHeight="1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</row>
    <row r="279" spans="1:16" ht="13.15" customHeight="1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</row>
    <row r="280" spans="1:16" ht="13.15" customHeight="1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</row>
    <row r="281" spans="1:16" ht="13.15" customHeight="1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</row>
    <row r="282" spans="1:16" ht="13.15" customHeight="1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</row>
    <row r="283" spans="1:16" ht="13.15" customHeight="1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</row>
    <row r="284" spans="1:16" ht="13.15" customHeight="1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</row>
    <row r="285" spans="1:16" ht="13.15" customHeight="1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</row>
    <row r="286" spans="1:16" ht="13.15" customHeight="1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</row>
    <row r="287" spans="1:16" ht="13.15" customHeight="1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</row>
    <row r="288" spans="1:16" ht="13.15" customHeight="1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</row>
    <row r="289" spans="1:16" ht="13.15" customHeight="1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</row>
    <row r="290" spans="1:16" ht="13.15" customHeight="1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</row>
    <row r="291" spans="1:16" ht="13.15" customHeight="1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</row>
    <row r="292" spans="1:16" ht="13.15" customHeight="1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</row>
    <row r="293" spans="1:16" ht="13.15" customHeight="1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</row>
    <row r="294" spans="1:16" ht="13.15" customHeight="1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</row>
    <row r="295" spans="1:16" ht="13.15" customHeight="1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</row>
    <row r="296" spans="1:16" ht="13.15" customHeight="1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</row>
    <row r="297" spans="1:16" ht="13.15" customHeight="1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</row>
    <row r="298" spans="1:16" ht="13.15" customHeight="1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</row>
    <row r="299" spans="1:16" ht="13.15" customHeight="1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</row>
    <row r="300" spans="1:16" ht="13.15" customHeight="1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</row>
    <row r="301" spans="1:16" ht="13.15" customHeight="1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</row>
    <row r="302" spans="1:16" ht="13.15" customHeight="1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</row>
    <row r="303" spans="1:16" ht="13.15" customHeight="1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</row>
    <row r="304" spans="1:16" ht="13.15" customHeight="1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</row>
    <row r="305" spans="1:16" ht="13.15" customHeight="1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</row>
    <row r="306" spans="1:16" ht="13.15" customHeight="1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</row>
    <row r="307" spans="1:16" ht="13.15" customHeight="1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</row>
    <row r="308" spans="1:16" ht="13.15" customHeight="1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</row>
    <row r="309" spans="1:16" ht="13.15" customHeight="1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</row>
    <row r="310" spans="1:16" ht="13.15" customHeight="1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</row>
    <row r="311" spans="1:16" ht="13.15" customHeight="1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</row>
    <row r="312" spans="1:16" ht="13.15" customHeight="1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</row>
    <row r="313" spans="1:16" ht="13.15" customHeight="1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</row>
    <row r="314" spans="1:16" ht="13.15" customHeight="1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</row>
    <row r="315" spans="1:16" ht="13.15" customHeight="1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</row>
    <row r="316" spans="1:16" ht="13.15" customHeight="1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</row>
    <row r="317" spans="1:16" ht="13.15" customHeight="1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</row>
    <row r="318" spans="1:16" ht="13.15" customHeight="1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</row>
    <row r="319" spans="1:16" ht="13.15" customHeight="1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</row>
    <row r="320" spans="1:16" ht="13.15" customHeight="1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</row>
    <row r="321" spans="1:16" ht="13.15" customHeight="1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</row>
    <row r="322" spans="1:16" ht="13.15" customHeight="1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</row>
    <row r="323" spans="1:16" ht="13.15" customHeight="1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</row>
    <row r="324" spans="1:16" ht="13.15" customHeight="1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</row>
    <row r="325" spans="1:16" ht="13.15" customHeight="1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</row>
    <row r="326" spans="1:16" ht="13.15" customHeight="1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</row>
    <row r="327" spans="1:16" ht="13.15" customHeight="1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</row>
    <row r="328" spans="1:16" ht="13.15" customHeight="1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</row>
    <row r="329" spans="1:16" ht="13.15" customHeight="1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</row>
    <row r="330" spans="1:16" ht="13.15" customHeight="1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</row>
    <row r="331" spans="1:16" ht="13.15" customHeight="1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</row>
    <row r="332" spans="1:16" ht="13.15" customHeight="1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</row>
    <row r="333" spans="1:16" ht="13.15" customHeight="1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</row>
    <row r="334" spans="1:16" ht="13.15" customHeight="1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</row>
    <row r="335" spans="1:16" ht="13.15" customHeight="1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</row>
    <row r="336" spans="1:16" ht="13.15" customHeight="1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</row>
    <row r="337" spans="1:16" ht="13.15" customHeight="1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</row>
    <row r="338" spans="1:16" ht="13.15" customHeight="1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</row>
    <row r="339" spans="1:16" ht="13.15" customHeight="1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</row>
    <row r="340" spans="1:16" ht="13.15" customHeight="1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</row>
    <row r="341" spans="1:16" ht="13.15" customHeight="1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</row>
    <row r="342" spans="1:16" ht="13.15" customHeight="1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</row>
    <row r="343" spans="1:16" ht="13.15" customHeight="1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</row>
    <row r="344" spans="1:16" ht="13.15" customHeight="1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</row>
    <row r="345" spans="1:16" ht="13.15" customHeight="1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</row>
    <row r="346" spans="1:16" ht="13.15" customHeight="1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</row>
    <row r="347" spans="1:16" ht="13.15" customHeight="1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</row>
    <row r="348" spans="1:16" ht="13.15" customHeight="1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</row>
    <row r="349" spans="1:16" ht="13.15" customHeight="1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</row>
    <row r="350" spans="1:16" ht="13.15" customHeight="1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</row>
    <row r="351" spans="1:16" ht="13.15" customHeight="1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</row>
    <row r="352" spans="1:16" ht="13.15" customHeight="1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</row>
    <row r="353" spans="1:16" ht="13.15" customHeight="1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</row>
    <row r="354" spans="1:16" ht="13.15" customHeight="1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</row>
    <row r="355" spans="1:16" ht="13.15" customHeight="1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</row>
    <row r="356" spans="1:16" ht="13.15" customHeight="1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</row>
    <row r="357" spans="1:16" ht="13.15" customHeight="1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</row>
    <row r="358" spans="1:16" ht="13.15" customHeight="1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</row>
    <row r="359" spans="1:16" ht="13.15" customHeight="1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</row>
    <row r="360" spans="1:16" ht="13.15" customHeight="1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</row>
    <row r="361" spans="1:16" ht="13.15" customHeight="1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</row>
    <row r="362" spans="1:16" ht="13.15" customHeight="1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</row>
    <row r="363" spans="1:16" ht="13.15" customHeight="1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</row>
    <row r="364" spans="1:16" ht="13.15" customHeight="1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</row>
    <row r="365" spans="1:16" ht="13.15" customHeight="1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</row>
    <row r="366" spans="1:16" ht="13.15" customHeight="1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</row>
    <row r="367" spans="1:16" ht="13.15" customHeight="1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</row>
    <row r="368" spans="1:16" ht="13.15" customHeight="1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</row>
    <row r="369" spans="1:16" ht="13.15" customHeight="1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</row>
    <row r="370" spans="1:16" ht="13.15" customHeight="1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</row>
    <row r="371" spans="1:16" ht="13.15" customHeight="1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</row>
    <row r="372" spans="1:16" ht="13.15" customHeight="1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</row>
    <row r="373" spans="1:16" ht="13.15" customHeight="1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</row>
    <row r="374" spans="1:16" ht="13.15" customHeight="1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</row>
    <row r="375" spans="1:16" ht="13.15" customHeight="1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</row>
    <row r="376" spans="1:16" ht="13.15" customHeight="1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</row>
    <row r="377" spans="1:16" ht="13.15" customHeight="1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</row>
    <row r="378" spans="1:16" ht="13.15" customHeight="1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</row>
    <row r="379" spans="1:16" ht="13.15" customHeight="1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</row>
    <row r="380" spans="1:16" ht="13.15" customHeight="1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</row>
    <row r="381" spans="1:16" ht="13.15" customHeight="1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</row>
    <row r="382" spans="1:16" ht="13.15" customHeight="1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</row>
    <row r="383" spans="1:16" ht="13.15" customHeight="1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</row>
    <row r="384" spans="1:16" ht="13.15" customHeight="1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</row>
    <row r="385" spans="1:16" ht="13.15" customHeight="1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</row>
    <row r="386" spans="1:16" ht="13.15" customHeight="1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</row>
    <row r="387" spans="1:16" ht="13.15" customHeight="1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</row>
    <row r="388" spans="1:16" ht="13.15" customHeight="1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</row>
    <row r="389" spans="1:16" ht="13.15" customHeight="1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</row>
    <row r="390" spans="1:16" ht="13.15" customHeight="1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</row>
    <row r="391" spans="1:16" ht="13.15" customHeight="1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</row>
    <row r="392" spans="1:16" ht="13.15" customHeight="1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</row>
    <row r="393" spans="1:16" ht="13.15" customHeight="1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</row>
    <row r="394" spans="1:16" ht="13.15" customHeight="1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</row>
    <row r="395" spans="1:16" ht="13.15" customHeight="1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</row>
    <row r="396" spans="1:16" ht="13.15" customHeight="1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</row>
    <row r="397" spans="1:16" ht="13.15" customHeight="1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</row>
    <row r="398" spans="1:16" ht="13.15" customHeight="1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</row>
    <row r="399" spans="1:16" ht="13.15" customHeight="1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</row>
    <row r="400" spans="1:16" ht="13.15" customHeight="1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</row>
    <row r="401" spans="1:16" ht="13.15" customHeight="1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Y401"/>
  <sheetViews>
    <sheetView zoomScale="120" zoomScaleNormal="120" workbookViewId="0">
      <selection activeCell="B2" sqref="B2"/>
    </sheetView>
  </sheetViews>
  <sheetFormatPr defaultColWidth="8.81640625" defaultRowHeight="13.15" customHeight="1" x14ac:dyDescent="0.25"/>
  <cols>
    <col min="1" max="1" width="3.26953125" style="4" customWidth="1"/>
    <col min="2" max="2" width="5.453125" style="4" customWidth="1"/>
    <col min="3" max="17" width="9.54296875" style="4" customWidth="1"/>
    <col min="18" max="18" width="10.26953125" style="4" customWidth="1"/>
    <col min="19" max="16384" width="8.81640625" style="4"/>
  </cols>
  <sheetData>
    <row r="1" spans="1:25" ht="13.15" customHeight="1" x14ac:dyDescent="0.35">
      <c r="A1" s="1" t="s">
        <v>21</v>
      </c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</row>
    <row r="2" spans="1:25" ht="13.15" customHeight="1" x14ac:dyDescent="0.25">
      <c r="A2" s="5" t="s">
        <v>24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6"/>
      <c r="N2" s="6"/>
      <c r="O2" s="6"/>
      <c r="P2" s="6"/>
      <c r="Q2" s="6"/>
      <c r="R2" s="6"/>
    </row>
    <row r="3" spans="1:25" ht="13.15" customHeight="1" x14ac:dyDescent="0.3">
      <c r="A3" s="5"/>
      <c r="B3" s="5"/>
      <c r="C3" s="8"/>
      <c r="D3" s="8"/>
      <c r="E3" s="8"/>
      <c r="F3" s="8"/>
      <c r="G3" s="8"/>
      <c r="H3" s="8"/>
      <c r="I3" s="8"/>
      <c r="J3" s="8"/>
      <c r="K3" s="8"/>
      <c r="L3" s="8"/>
      <c r="M3" s="7"/>
      <c r="N3" s="7"/>
      <c r="O3" s="7"/>
      <c r="P3" s="7"/>
      <c r="Q3" s="7"/>
      <c r="R3" s="6"/>
    </row>
    <row r="4" spans="1:25" ht="13.15" customHeight="1" x14ac:dyDescent="0.3">
      <c r="A4" s="7"/>
      <c r="B4" s="8"/>
      <c r="C4" s="8"/>
      <c r="D4" s="8"/>
      <c r="E4" s="16" t="s">
        <v>12</v>
      </c>
      <c r="F4" s="8"/>
      <c r="G4" s="8"/>
      <c r="H4" s="8"/>
      <c r="I4" s="8"/>
      <c r="J4" s="8"/>
      <c r="K4" s="8"/>
      <c r="L4" s="8"/>
      <c r="M4" s="8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 ht="13.15" customHeight="1" x14ac:dyDescent="0.35">
      <c r="A5" s="7"/>
      <c r="B5" s="9"/>
      <c r="C5" s="45" t="s">
        <v>0</v>
      </c>
      <c r="D5" s="45" t="s">
        <v>1</v>
      </c>
      <c r="E5" s="25" t="s">
        <v>11</v>
      </c>
      <c r="F5" s="8"/>
      <c r="G5" s="8"/>
      <c r="H5" s="8"/>
      <c r="I5" s="8"/>
      <c r="J5" s="8"/>
      <c r="K5" s="8"/>
      <c r="L5" s="8"/>
      <c r="M5" s="8"/>
      <c r="N5" s="8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 ht="13.15" customHeight="1" x14ac:dyDescent="0.3">
      <c r="A6" s="7"/>
      <c r="B6" s="45" t="s">
        <v>0</v>
      </c>
      <c r="C6" s="10">
        <v>1</v>
      </c>
      <c r="D6" s="11">
        <v>3</v>
      </c>
      <c r="E6" s="13">
        <f t="array" ref="E6:E9">ahpmat_rgm(C6:D7)</f>
        <v>0.75000000000000011</v>
      </c>
      <c r="F6" s="8"/>
      <c r="G6" s="8"/>
      <c r="H6" s="8"/>
      <c r="I6" s="8"/>
      <c r="J6" s="8"/>
      <c r="K6" s="8"/>
      <c r="L6" s="8"/>
      <c r="M6" s="8"/>
      <c r="N6" s="8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 ht="13.15" customHeight="1" x14ac:dyDescent="0.3">
      <c r="A7" s="7"/>
      <c r="B7" s="45" t="s">
        <v>1</v>
      </c>
      <c r="C7" s="12">
        <f>1/D6</f>
        <v>0.33333333333333331</v>
      </c>
      <c r="D7" s="10">
        <v>1</v>
      </c>
      <c r="E7" s="13">
        <v>0.25</v>
      </c>
      <c r="F7" s="8"/>
      <c r="G7" s="8"/>
      <c r="H7" s="8"/>
      <c r="I7" s="8"/>
      <c r="J7" s="8"/>
      <c r="K7" s="8"/>
      <c r="L7" s="8"/>
      <c r="M7" s="8"/>
      <c r="N7" s="8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 ht="13.15" customHeight="1" x14ac:dyDescent="0.3">
      <c r="A8" s="7"/>
      <c r="B8" s="8"/>
      <c r="C8" s="8"/>
      <c r="D8" s="42" t="s">
        <v>17</v>
      </c>
      <c r="E8" s="29">
        <v>2</v>
      </c>
      <c r="F8" s="8"/>
      <c r="G8" s="8"/>
      <c r="H8" s="8"/>
      <c r="I8" s="8"/>
      <c r="J8" s="7"/>
      <c r="K8" s="7"/>
      <c r="L8" s="8"/>
      <c r="M8" s="8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 ht="13.15" customHeight="1" x14ac:dyDescent="0.3">
      <c r="A9" s="7"/>
      <c r="B9" s="6"/>
      <c r="C9" s="7"/>
      <c r="D9" s="44" t="s">
        <v>4</v>
      </c>
      <c r="E9" s="35">
        <v>0</v>
      </c>
      <c r="F9" s="8"/>
      <c r="G9" s="8"/>
      <c r="H9" s="8"/>
      <c r="I9" s="8"/>
      <c r="J9" s="7"/>
      <c r="K9" s="8"/>
      <c r="L9" s="8"/>
      <c r="M9" s="8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 ht="13.15" customHeight="1" x14ac:dyDescent="0.3">
      <c r="A10" s="7"/>
      <c r="B10" s="8"/>
      <c r="C10" s="8"/>
      <c r="D10" s="7"/>
      <c r="E10" s="36" t="s">
        <v>2</v>
      </c>
      <c r="F10" s="36"/>
      <c r="G10" s="36"/>
      <c r="H10" s="36"/>
      <c r="I10" s="8"/>
      <c r="J10" s="8"/>
      <c r="K10" s="8"/>
      <c r="L10" s="8"/>
      <c r="M10" s="8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 ht="13.15" customHeight="1" x14ac:dyDescent="0.3">
      <c r="A11" s="7"/>
      <c r="B11" s="14"/>
      <c r="C11" s="15"/>
      <c r="D11" s="43"/>
      <c r="E11" s="8"/>
      <c r="F11" s="8"/>
      <c r="G11" s="8"/>
      <c r="H11" s="7"/>
      <c r="I11" s="8"/>
      <c r="J11" s="8"/>
      <c r="K11" s="8"/>
      <c r="L11" s="8"/>
      <c r="M11" s="8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 ht="13.15" customHeight="1" x14ac:dyDescent="0.3">
      <c r="A12" s="7"/>
      <c r="B12" s="14"/>
      <c r="C12" s="15"/>
      <c r="D12" s="43"/>
      <c r="E12" s="8"/>
      <c r="F12" s="8"/>
      <c r="G12" s="8"/>
      <c r="H12" s="7"/>
      <c r="I12" s="8"/>
      <c r="J12" s="8"/>
      <c r="K12" s="8"/>
      <c r="L12" s="8"/>
      <c r="M12" s="8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 ht="13.15" customHeight="1" x14ac:dyDescent="0.3">
      <c r="A13" s="7"/>
      <c r="B13" s="8"/>
      <c r="C13" s="8"/>
      <c r="D13" s="8"/>
      <c r="E13" s="8"/>
      <c r="F13" s="16" t="s">
        <v>12</v>
      </c>
      <c r="G13" s="8"/>
      <c r="H13" s="8"/>
      <c r="I13" s="8"/>
      <c r="J13" s="8"/>
      <c r="K13" s="8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 ht="13.15" customHeight="1" x14ac:dyDescent="0.35">
      <c r="A14" s="7"/>
      <c r="B14" s="46"/>
      <c r="C14" s="45" t="s">
        <v>0</v>
      </c>
      <c r="D14" s="45" t="s">
        <v>1</v>
      </c>
      <c r="E14" s="45" t="s">
        <v>3</v>
      </c>
      <c r="F14" s="25" t="s">
        <v>11</v>
      </c>
      <c r="G14" s="8"/>
      <c r="H14" s="8"/>
      <c r="I14" s="8"/>
      <c r="J14" s="8"/>
      <c r="K14" s="8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5" ht="13.15" customHeight="1" x14ac:dyDescent="0.3">
      <c r="A15" s="7"/>
      <c r="B15" s="45" t="s">
        <v>0</v>
      </c>
      <c r="C15" s="10">
        <v>1</v>
      </c>
      <c r="D15" s="11">
        <v>3</v>
      </c>
      <c r="E15" s="11">
        <v>5</v>
      </c>
      <c r="F15" s="27">
        <f t="array" ref="F15:F19">ahpmat_rgm(C15:E17)</f>
        <v>0.63698557174475712</v>
      </c>
      <c r="G15" s="8"/>
      <c r="H15" s="8"/>
      <c r="I15" s="8"/>
      <c r="J15" s="8"/>
      <c r="K15" s="8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5" ht="13.15" customHeight="1" x14ac:dyDescent="0.3">
      <c r="A16" s="7"/>
      <c r="B16" s="45" t="s">
        <v>1</v>
      </c>
      <c r="C16" s="12">
        <f>1/D15</f>
        <v>0.33333333333333331</v>
      </c>
      <c r="D16" s="10">
        <v>1</v>
      </c>
      <c r="E16" s="16">
        <v>3</v>
      </c>
      <c r="F16" s="27">
        <v>0.25828499437449504</v>
      </c>
      <c r="G16" s="8"/>
      <c r="H16" s="8"/>
      <c r="I16" s="8"/>
      <c r="J16" s="8"/>
      <c r="K16" s="8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5" ht="13.15" customHeight="1" x14ac:dyDescent="0.3">
      <c r="A17" s="7"/>
      <c r="B17" s="45" t="s">
        <v>3</v>
      </c>
      <c r="C17" s="12">
        <f>1/E15</f>
        <v>0.2</v>
      </c>
      <c r="D17" s="12">
        <f>1/E16</f>
        <v>0.33333333333333331</v>
      </c>
      <c r="E17" s="10">
        <v>1</v>
      </c>
      <c r="F17" s="27">
        <v>0.10472943388074787</v>
      </c>
      <c r="G17" s="8"/>
      <c r="H17" s="8"/>
      <c r="I17" s="8"/>
      <c r="J17" s="8"/>
      <c r="K17" s="8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5" ht="13.15" customHeight="1" x14ac:dyDescent="0.3">
      <c r="A18" s="7"/>
      <c r="B18" s="6"/>
      <c r="C18" s="7"/>
      <c r="D18" s="7"/>
      <c r="E18" s="42" t="s">
        <v>17</v>
      </c>
      <c r="F18" s="34">
        <v>3.0385110905581705</v>
      </c>
      <c r="G18" s="8"/>
      <c r="H18" s="8"/>
      <c r="I18" s="8"/>
      <c r="J18" s="8"/>
      <c r="K18" s="8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5" ht="13.15" customHeight="1" x14ac:dyDescent="0.3">
      <c r="A19" s="7"/>
      <c r="B19" s="6"/>
      <c r="C19" s="7"/>
      <c r="D19" s="7"/>
      <c r="E19" s="44" t="s">
        <v>4</v>
      </c>
      <c r="F19" s="34">
        <v>3.3199215998422828E-2</v>
      </c>
      <c r="G19" s="8"/>
      <c r="H19" s="8"/>
      <c r="I19" s="8"/>
      <c r="J19" s="8"/>
      <c r="K19" s="8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5" ht="13.15" customHeight="1" x14ac:dyDescent="0.3">
      <c r="A20" s="7"/>
      <c r="B20" s="8"/>
      <c r="C20" s="8"/>
      <c r="D20" s="8"/>
      <c r="E20" s="17"/>
      <c r="F20" s="18"/>
      <c r="G20" s="8"/>
      <c r="H20" s="8"/>
      <c r="I20" s="8"/>
      <c r="J20" s="8"/>
      <c r="K20" s="8"/>
      <c r="L20" s="8"/>
      <c r="M20" s="8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 ht="13.15" customHeight="1" x14ac:dyDescent="0.3">
      <c r="A21" s="7"/>
      <c r="B21" s="8"/>
      <c r="C21" s="8"/>
      <c r="D21" s="8"/>
      <c r="E21" s="17"/>
      <c r="F21" s="18"/>
      <c r="G21" s="8"/>
      <c r="H21" s="8"/>
      <c r="I21" s="8"/>
      <c r="J21" s="8"/>
      <c r="K21" s="8"/>
      <c r="L21" s="8"/>
      <c r="M21" s="8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 ht="13.15" customHeight="1" x14ac:dyDescent="0.3">
      <c r="A22" s="7"/>
      <c r="B22" s="8"/>
      <c r="C22" s="8"/>
      <c r="D22" s="8"/>
      <c r="E22" s="17"/>
      <c r="F22" s="18"/>
      <c r="G22" s="8"/>
      <c r="H22" s="8"/>
      <c r="I22" s="8"/>
      <c r="J22" s="8"/>
      <c r="K22" s="8"/>
      <c r="L22" s="8"/>
      <c r="M22" s="8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 ht="13.15" customHeight="1" x14ac:dyDescent="0.3">
      <c r="A23" s="7"/>
      <c r="B23" s="19"/>
      <c r="C23" s="19"/>
      <c r="D23" s="19"/>
      <c r="E23" s="19"/>
      <c r="F23" s="19"/>
      <c r="G23" s="16" t="s">
        <v>12</v>
      </c>
      <c r="H23" s="8"/>
      <c r="I23" s="8"/>
      <c r="J23" s="8"/>
      <c r="K23" s="7"/>
      <c r="L23" s="8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 ht="13.15" customHeight="1" x14ac:dyDescent="0.35">
      <c r="A24" s="7"/>
      <c r="B24" s="46"/>
      <c r="C24" s="45" t="s">
        <v>0</v>
      </c>
      <c r="D24" s="45" t="s">
        <v>1</v>
      </c>
      <c r="E24" s="45" t="s">
        <v>3</v>
      </c>
      <c r="F24" s="45" t="s">
        <v>5</v>
      </c>
      <c r="G24" s="25" t="s">
        <v>11</v>
      </c>
      <c r="H24" s="8"/>
      <c r="I24" s="8"/>
      <c r="J24" s="8"/>
      <c r="K24" s="8"/>
      <c r="L24" s="8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5" ht="13.15" customHeight="1" x14ac:dyDescent="0.3">
      <c r="A25" s="7"/>
      <c r="B25" s="45" t="s">
        <v>0</v>
      </c>
      <c r="C25" s="10">
        <v>1</v>
      </c>
      <c r="D25" s="16">
        <v>3</v>
      </c>
      <c r="E25" s="16">
        <v>5</v>
      </c>
      <c r="F25" s="16">
        <v>7</v>
      </c>
      <c r="G25" s="27">
        <f t="array" ref="G25:G30">ahpmat_rgm(C25:F28)</f>
        <v>0.56381276908071754</v>
      </c>
      <c r="H25" s="8"/>
      <c r="I25" s="8"/>
      <c r="J25" s="8"/>
      <c r="L25" s="8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5" ht="13.15" customHeight="1" x14ac:dyDescent="0.3">
      <c r="A26" s="7"/>
      <c r="B26" s="45" t="s">
        <v>1</v>
      </c>
      <c r="C26" s="12">
        <f>1/D25</f>
        <v>0.33333333333333331</v>
      </c>
      <c r="D26" s="10">
        <v>1</v>
      </c>
      <c r="E26" s="16">
        <v>3</v>
      </c>
      <c r="F26" s="16">
        <v>5</v>
      </c>
      <c r="G26" s="27">
        <v>0.26337835676570304</v>
      </c>
      <c r="H26" s="8"/>
      <c r="I26" s="8"/>
      <c r="J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5" ht="13.15" customHeight="1" x14ac:dyDescent="0.3">
      <c r="A27" s="7"/>
      <c r="B27" s="45" t="s">
        <v>3</v>
      </c>
      <c r="C27" s="12">
        <f>1/E25</f>
        <v>0.2</v>
      </c>
      <c r="D27" s="12">
        <f>1/E26</f>
        <v>0.33333333333333331</v>
      </c>
      <c r="E27" s="10">
        <v>1</v>
      </c>
      <c r="F27" s="16">
        <v>3</v>
      </c>
      <c r="G27" s="27">
        <v>0.11778638190606072</v>
      </c>
      <c r="H27" s="8"/>
      <c r="I27" s="8"/>
      <c r="J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5" ht="13.15" customHeight="1" x14ac:dyDescent="0.3">
      <c r="A28" s="7"/>
      <c r="B28" s="45" t="s">
        <v>5</v>
      </c>
      <c r="C28" s="12">
        <f>1/F25</f>
        <v>0.14285714285714285</v>
      </c>
      <c r="D28" s="12">
        <f>1/F26</f>
        <v>0.2</v>
      </c>
      <c r="E28" s="12">
        <f>1/F27</f>
        <v>0.33333333333333331</v>
      </c>
      <c r="F28" s="10">
        <v>1</v>
      </c>
      <c r="G28" s="27">
        <v>5.5022492247518671E-2</v>
      </c>
      <c r="H28" s="8"/>
      <c r="I28" s="8"/>
      <c r="J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5" ht="13.15" customHeight="1" x14ac:dyDescent="0.3">
      <c r="A29" s="7"/>
      <c r="B29" s="7"/>
      <c r="C29" s="7"/>
      <c r="D29" s="7"/>
      <c r="E29" s="7"/>
      <c r="F29" s="42" t="s">
        <v>17</v>
      </c>
      <c r="G29" s="31">
        <v>4.1169338476903885</v>
      </c>
      <c r="H29" s="8"/>
      <c r="I29" s="8"/>
      <c r="J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 ht="13.15" customHeight="1" x14ac:dyDescent="0.3">
      <c r="A30" s="7"/>
      <c r="B30" s="7"/>
      <c r="C30" s="7"/>
      <c r="D30" s="7"/>
      <c r="E30" s="7"/>
      <c r="F30" s="44" t="s">
        <v>4</v>
      </c>
      <c r="G30" s="31">
        <v>4.3308832477921673E-2</v>
      </c>
      <c r="H30" s="8"/>
      <c r="I30" s="8"/>
      <c r="J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 ht="13.15" customHeight="1" x14ac:dyDescent="0.3">
      <c r="A31" s="7"/>
      <c r="B31" s="14"/>
      <c r="C31" s="14"/>
      <c r="D31" s="8"/>
      <c r="E31" s="8"/>
      <c r="F31" s="43"/>
      <c r="G31" s="8"/>
      <c r="H31" s="8"/>
      <c r="I31" s="8"/>
      <c r="J31" s="8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 ht="13.15" customHeight="1" x14ac:dyDescent="0.3">
      <c r="A32" s="7"/>
      <c r="B32" s="14"/>
      <c r="C32" s="14"/>
      <c r="D32" s="8"/>
      <c r="E32" s="8"/>
      <c r="F32" s="43"/>
      <c r="G32" s="8"/>
      <c r="H32" s="8"/>
      <c r="I32" s="8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ht="13.15" customHeight="1" x14ac:dyDescent="0.3">
      <c r="A33" s="7"/>
      <c r="B33" s="14"/>
      <c r="C33" s="14"/>
      <c r="D33" s="14"/>
      <c r="E33" s="8"/>
      <c r="F33" s="8"/>
      <c r="G33" s="8"/>
      <c r="H33" s="8"/>
      <c r="I33" s="8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ht="13.15" customHeight="1" x14ac:dyDescent="0.3">
      <c r="A34" s="7"/>
      <c r="B34" s="7"/>
      <c r="C34" s="7"/>
      <c r="D34" s="7"/>
      <c r="E34" s="7"/>
      <c r="F34" s="7"/>
      <c r="G34" s="7"/>
      <c r="H34" s="16" t="s">
        <v>12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ht="13.15" customHeight="1" x14ac:dyDescent="0.35">
      <c r="A35" s="7"/>
      <c r="B35" s="46"/>
      <c r="C35" s="45" t="s">
        <v>0</v>
      </c>
      <c r="D35" s="45" t="s">
        <v>1</v>
      </c>
      <c r="E35" s="45" t="s">
        <v>3</v>
      </c>
      <c r="F35" s="45" t="s">
        <v>5</v>
      </c>
      <c r="G35" s="45" t="s">
        <v>6</v>
      </c>
      <c r="H35" s="25" t="s">
        <v>11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ht="13.15" customHeight="1" x14ac:dyDescent="0.3">
      <c r="A36" s="7"/>
      <c r="B36" s="45" t="s">
        <v>0</v>
      </c>
      <c r="C36" s="10">
        <v>1</v>
      </c>
      <c r="D36" s="16">
        <v>3</v>
      </c>
      <c r="E36" s="16">
        <v>5</v>
      </c>
      <c r="F36" s="21">
        <v>7</v>
      </c>
      <c r="G36" s="21">
        <v>9</v>
      </c>
      <c r="H36" s="27">
        <f t="array" ref="H36:H42">ahpmat_rgm(C36:G40)</f>
        <v>0.51003872501686387</v>
      </c>
      <c r="I36" s="7"/>
      <c r="J36" s="7"/>
      <c r="K36" s="7"/>
      <c r="L36" s="8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ht="13.15" customHeight="1" x14ac:dyDescent="0.3">
      <c r="A37" s="7"/>
      <c r="B37" s="45" t="s">
        <v>1</v>
      </c>
      <c r="C37" s="12">
        <f>1/D36</f>
        <v>0.33333333333333331</v>
      </c>
      <c r="D37" s="10">
        <v>1</v>
      </c>
      <c r="E37" s="16">
        <v>3</v>
      </c>
      <c r="F37" s="21">
        <v>5</v>
      </c>
      <c r="G37" s="21">
        <v>7</v>
      </c>
      <c r="H37" s="27">
        <v>0.26383377931428448</v>
      </c>
      <c r="I37" s="7"/>
      <c r="J37" s="7"/>
      <c r="K37" s="7"/>
      <c r="L37" s="8"/>
      <c r="M37" s="8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ht="13.15" customHeight="1" x14ac:dyDescent="0.3">
      <c r="A38" s="7"/>
      <c r="B38" s="45" t="s">
        <v>3</v>
      </c>
      <c r="C38" s="12">
        <f>1/E36</f>
        <v>0.2</v>
      </c>
      <c r="D38" s="12">
        <f>1/E37</f>
        <v>0.33333333333333331</v>
      </c>
      <c r="E38" s="10">
        <v>1</v>
      </c>
      <c r="F38" s="21">
        <v>3</v>
      </c>
      <c r="G38" s="21">
        <v>5</v>
      </c>
      <c r="H38" s="27">
        <v>0.12957367894643815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ht="13.15" customHeight="1" x14ac:dyDescent="0.3">
      <c r="A39" s="7"/>
      <c r="B39" s="45" t="s">
        <v>5</v>
      </c>
      <c r="C39" s="12">
        <f>1/F36</f>
        <v>0.14285714285714285</v>
      </c>
      <c r="D39" s="12">
        <f>1/F37</f>
        <v>0.2</v>
      </c>
      <c r="E39" s="12">
        <f>1/F38</f>
        <v>0.33333333333333331</v>
      </c>
      <c r="F39" s="10">
        <v>1</v>
      </c>
      <c r="G39" s="21">
        <v>3</v>
      </c>
      <c r="H39" s="27">
        <v>6.3636045086231371E-2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ht="13.15" customHeight="1" x14ac:dyDescent="0.3">
      <c r="A40" s="7"/>
      <c r="B40" s="45" t="s">
        <v>6</v>
      </c>
      <c r="C40" s="12">
        <f>1/G36</f>
        <v>0.1111111111111111</v>
      </c>
      <c r="D40" s="12">
        <f>1/G37</f>
        <v>0.14285714285714285</v>
      </c>
      <c r="E40" s="12">
        <f>1/G38</f>
        <v>0.2</v>
      </c>
      <c r="F40" s="12">
        <f>1/G39</f>
        <v>0.33333333333333331</v>
      </c>
      <c r="G40" s="10">
        <v>1</v>
      </c>
      <c r="H40" s="27">
        <v>3.291777163618214E-2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 ht="13.15" customHeight="1" x14ac:dyDescent="0.3">
      <c r="A41" s="7"/>
      <c r="B41" s="14"/>
      <c r="C41" s="14"/>
      <c r="D41" s="7"/>
      <c r="E41" s="7"/>
      <c r="F41" s="7"/>
      <c r="G41" s="42" t="s">
        <v>17</v>
      </c>
      <c r="H41" s="34">
        <v>5.2371941182173662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 ht="13.15" customHeight="1" x14ac:dyDescent="0.3">
      <c r="A42" s="7"/>
      <c r="B42" s="14"/>
      <c r="C42" s="14"/>
      <c r="D42" s="7"/>
      <c r="E42" s="7"/>
      <c r="F42" s="7"/>
      <c r="G42" s="44" t="s">
        <v>4</v>
      </c>
      <c r="H42" s="34">
        <v>5.2945115673519248E-2</v>
      </c>
      <c r="I42" s="7"/>
      <c r="J42" s="7"/>
      <c r="K42" s="7"/>
      <c r="L42" s="20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 ht="13.15" customHeight="1" x14ac:dyDescent="0.3">
      <c r="A43" s="7"/>
      <c r="B43" s="14"/>
      <c r="C43" s="14"/>
      <c r="D43" s="14"/>
      <c r="E43" s="15"/>
      <c r="F43" s="7"/>
      <c r="G43" s="43"/>
      <c r="H43" s="24"/>
      <c r="I43" s="8"/>
      <c r="J43" s="7"/>
      <c r="K43" s="24"/>
      <c r="L43" s="20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 ht="13.15" customHeight="1" x14ac:dyDescent="0.3">
      <c r="A44" s="7"/>
      <c r="B44" s="14"/>
      <c r="C44" s="14"/>
      <c r="D44" s="14"/>
      <c r="E44" s="15"/>
      <c r="F44" s="7"/>
      <c r="G44" s="43"/>
      <c r="H44" s="24"/>
      <c r="I44" s="8"/>
      <c r="J44" s="7"/>
      <c r="K44" s="24"/>
      <c r="L44" s="20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 ht="13.15" customHeight="1" x14ac:dyDescent="0.3">
      <c r="A45" s="7"/>
      <c r="B45" s="14"/>
      <c r="C45" s="14"/>
      <c r="D45" s="14"/>
      <c r="E45" s="15"/>
      <c r="F45" s="17"/>
      <c r="G45" s="18"/>
      <c r="H45" s="7"/>
      <c r="I45" s="7"/>
      <c r="J45" s="7"/>
      <c r="K45" s="7"/>
      <c r="L45" s="7"/>
      <c r="M45" s="20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 ht="13.15" customHeight="1" x14ac:dyDescent="0.3">
      <c r="A46" s="7"/>
      <c r="B46" s="7"/>
      <c r="C46" s="7"/>
      <c r="D46" s="7"/>
      <c r="E46" s="7"/>
      <c r="F46" s="7"/>
      <c r="G46" s="7"/>
      <c r="H46" s="7"/>
      <c r="I46" s="16" t="s">
        <v>12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 ht="13.15" customHeight="1" x14ac:dyDescent="0.35">
      <c r="A47" s="7"/>
      <c r="B47" s="46"/>
      <c r="C47" s="45" t="s">
        <v>0</v>
      </c>
      <c r="D47" s="45" t="s">
        <v>1</v>
      </c>
      <c r="E47" s="45" t="s">
        <v>3</v>
      </c>
      <c r="F47" s="45" t="s">
        <v>5</v>
      </c>
      <c r="G47" s="45" t="s">
        <v>6</v>
      </c>
      <c r="H47" s="45" t="s">
        <v>7</v>
      </c>
      <c r="I47" s="25" t="s">
        <v>11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 ht="13.15" customHeight="1" x14ac:dyDescent="0.3">
      <c r="A48" s="7"/>
      <c r="B48" s="45" t="s">
        <v>0</v>
      </c>
      <c r="C48" s="10">
        <v>1</v>
      </c>
      <c r="D48" s="16">
        <v>3</v>
      </c>
      <c r="E48" s="16">
        <v>5</v>
      </c>
      <c r="F48" s="21">
        <v>6</v>
      </c>
      <c r="G48" s="21">
        <v>7</v>
      </c>
      <c r="H48" s="21">
        <v>9</v>
      </c>
      <c r="I48" s="27">
        <f t="array" ref="I48:I55">ahpmat_rgm(C48:H53)</f>
        <v>0.44305880021724231</v>
      </c>
      <c r="J48" s="7"/>
      <c r="K48" s="7"/>
      <c r="L48" s="7"/>
      <c r="M48" s="8"/>
      <c r="N48" s="8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 ht="13.15" customHeight="1" x14ac:dyDescent="0.3">
      <c r="A49" s="7"/>
      <c r="B49" s="45" t="s">
        <v>1</v>
      </c>
      <c r="C49" s="12">
        <f>1/D48</f>
        <v>0.33333333333333331</v>
      </c>
      <c r="D49" s="10">
        <v>1</v>
      </c>
      <c r="E49" s="16">
        <v>3</v>
      </c>
      <c r="F49" s="21">
        <v>5</v>
      </c>
      <c r="G49" s="21">
        <v>7</v>
      </c>
      <c r="H49" s="21">
        <v>8</v>
      </c>
      <c r="I49" s="27">
        <v>0.26836375657008393</v>
      </c>
      <c r="J49" s="7"/>
      <c r="K49" s="7"/>
      <c r="L49" s="7"/>
      <c r="M49" s="8"/>
      <c r="N49" s="8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 ht="13.15" customHeight="1" x14ac:dyDescent="0.3">
      <c r="A50" s="7"/>
      <c r="B50" s="45" t="s">
        <v>3</v>
      </c>
      <c r="C50" s="12">
        <f>1/E48</f>
        <v>0.2</v>
      </c>
      <c r="D50" s="12">
        <f>1/E49</f>
        <v>0.33333333333333331</v>
      </c>
      <c r="E50" s="10">
        <v>1</v>
      </c>
      <c r="F50" s="21">
        <v>3</v>
      </c>
      <c r="G50" s="21">
        <v>5</v>
      </c>
      <c r="H50" s="21">
        <v>7</v>
      </c>
      <c r="I50" s="27">
        <v>0.14511552052333365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 ht="13.15" customHeight="1" x14ac:dyDescent="0.3">
      <c r="A51" s="7"/>
      <c r="B51" s="45" t="s">
        <v>5</v>
      </c>
      <c r="C51" s="12">
        <f>1/F48</f>
        <v>0.16666666666666666</v>
      </c>
      <c r="D51" s="12">
        <f>1/F49</f>
        <v>0.2</v>
      </c>
      <c r="E51" s="12">
        <f>1/F50</f>
        <v>0.33333333333333331</v>
      </c>
      <c r="F51" s="10">
        <v>1</v>
      </c>
      <c r="G51" s="21">
        <v>3</v>
      </c>
      <c r="H51" s="21">
        <v>5</v>
      </c>
      <c r="I51" s="27">
        <v>7.7834531483353078E-2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 ht="13.15" customHeight="1" x14ac:dyDescent="0.3">
      <c r="A52" s="7"/>
      <c r="B52" s="45" t="s">
        <v>6</v>
      </c>
      <c r="C52" s="22">
        <f>1/G48</f>
        <v>0.14285714285714285</v>
      </c>
      <c r="D52" s="22">
        <f>1/G49</f>
        <v>0.14285714285714285</v>
      </c>
      <c r="E52" s="22">
        <f>1/G50</f>
        <v>0.2</v>
      </c>
      <c r="F52" s="22">
        <f>1/G51</f>
        <v>0.33333333333333331</v>
      </c>
      <c r="G52" s="23">
        <v>1</v>
      </c>
      <c r="H52" s="21">
        <v>3</v>
      </c>
      <c r="I52" s="27">
        <v>4.1943999858358706E-2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 ht="13.15" customHeight="1" x14ac:dyDescent="0.3">
      <c r="A53" s="7"/>
      <c r="B53" s="45" t="s">
        <v>7</v>
      </c>
      <c r="C53" s="12">
        <f>1/H48</f>
        <v>0.1111111111111111</v>
      </c>
      <c r="D53" s="12">
        <f>1/H49</f>
        <v>0.125</v>
      </c>
      <c r="E53" s="12">
        <f>1/H50</f>
        <v>0.14285714285714285</v>
      </c>
      <c r="F53" s="12">
        <f>1/H51</f>
        <v>0.2</v>
      </c>
      <c r="G53" s="12">
        <f>1/H52</f>
        <v>0.33333333333333331</v>
      </c>
      <c r="H53" s="10">
        <v>1</v>
      </c>
      <c r="I53" s="27">
        <v>2.3683391347628212E-2</v>
      </c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 ht="13.15" customHeight="1" x14ac:dyDescent="0.3">
      <c r="A54" s="7"/>
      <c r="B54" s="14"/>
      <c r="C54" s="14"/>
      <c r="D54" s="7"/>
      <c r="E54" s="7"/>
      <c r="F54" s="7"/>
      <c r="G54" s="7"/>
      <c r="H54" s="42" t="s">
        <v>17</v>
      </c>
      <c r="I54" s="34">
        <v>6.490409173732747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 ht="13.15" customHeight="1" x14ac:dyDescent="0.3">
      <c r="A55" s="7"/>
      <c r="B55" s="14"/>
      <c r="C55" s="14"/>
      <c r="D55" s="7"/>
      <c r="E55" s="7"/>
      <c r="F55" s="7"/>
      <c r="G55" s="7"/>
      <c r="H55" s="44" t="s">
        <v>4</v>
      </c>
      <c r="I55" s="34">
        <v>7.9098253827862411E-2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 ht="13.15" customHeight="1" x14ac:dyDescent="0.3">
      <c r="A56" s="7"/>
      <c r="B56" s="14"/>
      <c r="C56" s="14"/>
      <c r="D56" s="7"/>
      <c r="E56" s="7"/>
      <c r="F56" s="7"/>
      <c r="G56" s="7"/>
      <c r="H56" s="43"/>
      <c r="I56" s="24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 ht="13.15" customHeight="1" x14ac:dyDescent="0.3">
      <c r="A57" s="7"/>
      <c r="B57" s="14"/>
      <c r="C57" s="14"/>
      <c r="D57" s="7"/>
      <c r="E57" s="7"/>
      <c r="F57" s="7"/>
      <c r="G57" s="7"/>
      <c r="H57" s="43"/>
      <c r="I57" s="24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 ht="13.15" customHeight="1" x14ac:dyDescent="0.3">
      <c r="A58" s="7"/>
      <c r="B58" s="14"/>
      <c r="C58" s="14"/>
      <c r="D58" s="14"/>
      <c r="E58" s="15"/>
      <c r="F58" s="17"/>
      <c r="G58" s="17"/>
      <c r="H58" s="18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 ht="13.15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16" t="s">
        <v>12</v>
      </c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 ht="13.15" customHeight="1" x14ac:dyDescent="0.35">
      <c r="A60" s="7"/>
      <c r="B60" s="46"/>
      <c r="C60" s="45" t="s">
        <v>0</v>
      </c>
      <c r="D60" s="45" t="s">
        <v>1</v>
      </c>
      <c r="E60" s="45" t="s">
        <v>3</v>
      </c>
      <c r="F60" s="45" t="s">
        <v>5</v>
      </c>
      <c r="G60" s="45" t="s">
        <v>6</v>
      </c>
      <c r="H60" s="45" t="s">
        <v>7</v>
      </c>
      <c r="I60" s="45" t="s">
        <v>8</v>
      </c>
      <c r="J60" s="25" t="s">
        <v>11</v>
      </c>
      <c r="K60" s="7"/>
      <c r="L60" s="7"/>
      <c r="M60" s="7"/>
      <c r="N60" s="7"/>
      <c r="O60" s="8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 ht="13.15" customHeight="1" x14ac:dyDescent="0.3">
      <c r="A61" s="7"/>
      <c r="B61" s="45" t="s">
        <v>0</v>
      </c>
      <c r="C61" s="10">
        <v>1</v>
      </c>
      <c r="D61" s="16">
        <v>3</v>
      </c>
      <c r="E61" s="16">
        <v>4</v>
      </c>
      <c r="F61" s="21">
        <v>6</v>
      </c>
      <c r="G61" s="21">
        <v>7</v>
      </c>
      <c r="H61" s="21">
        <v>8</v>
      </c>
      <c r="I61" s="21">
        <v>9</v>
      </c>
      <c r="J61" s="27">
        <f t="array" ref="J61:J69">ahpmat_rgm(C61:I67)</f>
        <v>0.39931696589850357</v>
      </c>
      <c r="K61" s="7"/>
      <c r="L61" s="7"/>
      <c r="M61" s="7"/>
      <c r="N61" s="8"/>
      <c r="O61" s="8"/>
      <c r="P61" s="7"/>
      <c r="Q61" s="7"/>
      <c r="R61" s="6"/>
      <c r="S61" s="7"/>
      <c r="T61" s="7"/>
      <c r="U61" s="7"/>
      <c r="V61" s="7"/>
      <c r="W61" s="7"/>
      <c r="X61" s="7"/>
      <c r="Y61" s="7"/>
    </row>
    <row r="62" spans="1:25" ht="13.15" customHeight="1" x14ac:dyDescent="0.3">
      <c r="A62" s="7"/>
      <c r="B62" s="45" t="s">
        <v>1</v>
      </c>
      <c r="C62" s="12">
        <f>1/D61</f>
        <v>0.33333333333333331</v>
      </c>
      <c r="D62" s="10">
        <v>1</v>
      </c>
      <c r="E62" s="16">
        <v>2</v>
      </c>
      <c r="F62" s="21">
        <v>5</v>
      </c>
      <c r="G62" s="21">
        <v>6</v>
      </c>
      <c r="H62" s="21">
        <v>7</v>
      </c>
      <c r="I62" s="21">
        <v>8</v>
      </c>
      <c r="J62" s="27">
        <v>0.24295487526129561</v>
      </c>
      <c r="K62" s="7"/>
      <c r="L62" s="7"/>
      <c r="M62" s="7"/>
      <c r="N62" s="8"/>
      <c r="O62" s="8"/>
      <c r="P62" s="7"/>
      <c r="Q62" s="7"/>
      <c r="R62" s="6"/>
      <c r="S62" s="7"/>
      <c r="T62" s="7"/>
      <c r="U62" s="7"/>
      <c r="V62" s="7"/>
      <c r="W62" s="7"/>
      <c r="X62" s="7"/>
      <c r="Y62" s="7"/>
    </row>
    <row r="63" spans="1:25" ht="13.15" customHeight="1" x14ac:dyDescent="0.3">
      <c r="A63" s="7"/>
      <c r="B63" s="45" t="s">
        <v>3</v>
      </c>
      <c r="C63" s="12">
        <f>1/E61</f>
        <v>0.25</v>
      </c>
      <c r="D63" s="12">
        <f>1/E62</f>
        <v>0.5</v>
      </c>
      <c r="E63" s="10">
        <v>1</v>
      </c>
      <c r="F63" s="21">
        <v>3</v>
      </c>
      <c r="G63" s="21">
        <v>5</v>
      </c>
      <c r="H63" s="21">
        <v>6</v>
      </c>
      <c r="I63" s="21">
        <v>7</v>
      </c>
      <c r="J63" s="27">
        <v>0.16627079798231903</v>
      </c>
      <c r="K63" s="7"/>
      <c r="L63" s="7"/>
      <c r="M63" s="7"/>
      <c r="N63" s="7"/>
      <c r="O63" s="7"/>
      <c r="P63" s="7"/>
      <c r="Q63" s="7"/>
      <c r="R63" s="6"/>
      <c r="S63" s="7"/>
      <c r="T63" s="7"/>
      <c r="U63" s="7"/>
      <c r="V63" s="7"/>
      <c r="W63" s="7"/>
      <c r="X63" s="7"/>
      <c r="Y63" s="7"/>
    </row>
    <row r="64" spans="1:25" ht="13.15" customHeight="1" x14ac:dyDescent="0.3">
      <c r="A64" s="7"/>
      <c r="B64" s="45" t="s">
        <v>5</v>
      </c>
      <c r="C64" s="12">
        <f>1/F61</f>
        <v>0.16666666666666666</v>
      </c>
      <c r="D64" s="12">
        <f>1/F62</f>
        <v>0.2</v>
      </c>
      <c r="E64" s="12">
        <f>1/F63</f>
        <v>0.33333333333333331</v>
      </c>
      <c r="F64" s="10">
        <v>1</v>
      </c>
      <c r="G64" s="21">
        <v>3</v>
      </c>
      <c r="H64" s="21">
        <v>5</v>
      </c>
      <c r="I64" s="21">
        <v>6</v>
      </c>
      <c r="J64" s="27">
        <v>8.91093023659036E-2</v>
      </c>
      <c r="K64" s="7"/>
      <c r="L64" s="7"/>
      <c r="M64" s="7"/>
      <c r="N64" s="7"/>
      <c r="O64" s="7"/>
      <c r="P64" s="7"/>
      <c r="Q64" s="7"/>
      <c r="R64" s="6"/>
      <c r="S64" s="7"/>
      <c r="T64" s="7"/>
      <c r="U64" s="7"/>
      <c r="V64" s="7"/>
      <c r="W64" s="7"/>
      <c r="X64" s="7"/>
      <c r="Y64" s="7"/>
    </row>
    <row r="65" spans="1:25" ht="13.15" customHeight="1" x14ac:dyDescent="0.3">
      <c r="A65" s="7"/>
      <c r="B65" s="45" t="s">
        <v>6</v>
      </c>
      <c r="C65" s="22">
        <f>1/G61</f>
        <v>0.14285714285714285</v>
      </c>
      <c r="D65" s="22">
        <f>1/G62</f>
        <v>0.16666666666666666</v>
      </c>
      <c r="E65" s="22">
        <f>1/G63</f>
        <v>0.2</v>
      </c>
      <c r="F65" s="22">
        <f>1/G64</f>
        <v>0.33333333333333331</v>
      </c>
      <c r="G65" s="23">
        <v>1</v>
      </c>
      <c r="H65" s="21">
        <v>3</v>
      </c>
      <c r="I65" s="21">
        <v>5</v>
      </c>
      <c r="J65" s="27">
        <v>5.2243262234125003E-2</v>
      </c>
      <c r="K65" s="7"/>
      <c r="L65" s="7"/>
      <c r="M65" s="7"/>
      <c r="N65" s="7"/>
      <c r="O65" s="7"/>
      <c r="P65" s="7"/>
      <c r="Q65" s="7"/>
      <c r="R65" s="6"/>
      <c r="S65" s="7"/>
      <c r="T65" s="7"/>
      <c r="U65" s="7"/>
      <c r="V65" s="7"/>
      <c r="W65" s="7"/>
      <c r="X65" s="7"/>
      <c r="Y65" s="7"/>
    </row>
    <row r="66" spans="1:25" ht="13.15" customHeight="1" x14ac:dyDescent="0.3">
      <c r="A66" s="7"/>
      <c r="B66" s="45" t="s">
        <v>7</v>
      </c>
      <c r="C66" s="12">
        <f>1/H61</f>
        <v>0.125</v>
      </c>
      <c r="D66" s="12">
        <f>1/H62</f>
        <v>0.14285714285714285</v>
      </c>
      <c r="E66" s="12">
        <f>1/H63</f>
        <v>0.16666666666666666</v>
      </c>
      <c r="F66" s="12">
        <f>1/H64</f>
        <v>0.2</v>
      </c>
      <c r="G66" s="12">
        <f>1/H65</f>
        <v>0.33333333333333331</v>
      </c>
      <c r="H66" s="10">
        <v>1</v>
      </c>
      <c r="I66" s="16">
        <v>3</v>
      </c>
      <c r="J66" s="27">
        <v>3.0843565378501636E-2</v>
      </c>
      <c r="K66" s="7"/>
      <c r="L66" s="7"/>
      <c r="M66" s="7"/>
      <c r="N66" s="7"/>
      <c r="O66" s="7"/>
      <c r="P66" s="7"/>
      <c r="Q66" s="7"/>
      <c r="R66" s="6"/>
      <c r="S66" s="7"/>
      <c r="T66" s="7"/>
      <c r="U66" s="7"/>
      <c r="V66" s="7"/>
      <c r="W66" s="7"/>
      <c r="X66" s="7"/>
      <c r="Y66" s="7"/>
    </row>
    <row r="67" spans="1:25" ht="13.15" customHeight="1" x14ac:dyDescent="0.3">
      <c r="A67" s="7"/>
      <c r="B67" s="45" t="s">
        <v>8</v>
      </c>
      <c r="C67" s="12">
        <f>1/I61</f>
        <v>0.1111111111111111</v>
      </c>
      <c r="D67" s="12">
        <f>1/I62</f>
        <v>0.125</v>
      </c>
      <c r="E67" s="12">
        <f>1/I63</f>
        <v>0.14285714285714285</v>
      </c>
      <c r="F67" s="12">
        <f>1/I64</f>
        <v>0.16666666666666666</v>
      </c>
      <c r="G67" s="12">
        <f>1/I65</f>
        <v>0.2</v>
      </c>
      <c r="H67" s="12">
        <f>1/I66</f>
        <v>0.33333333333333331</v>
      </c>
      <c r="I67" s="10">
        <v>1</v>
      </c>
      <c r="J67" s="27">
        <v>1.926123087935162E-2</v>
      </c>
      <c r="K67" s="7"/>
      <c r="L67" s="7"/>
      <c r="M67" s="7"/>
      <c r="N67" s="7"/>
      <c r="O67" s="7"/>
      <c r="P67" s="7"/>
      <c r="Q67" s="7"/>
      <c r="R67" s="6"/>
      <c r="S67" s="7"/>
      <c r="T67" s="7"/>
      <c r="U67" s="7"/>
      <c r="V67" s="7"/>
      <c r="W67" s="7"/>
      <c r="X67" s="7"/>
      <c r="Y67" s="7"/>
    </row>
    <row r="68" spans="1:25" ht="13.15" customHeight="1" x14ac:dyDescent="0.3">
      <c r="A68" s="7"/>
      <c r="B68" s="14"/>
      <c r="C68" s="14"/>
      <c r="D68" s="14"/>
      <c r="E68" s="7"/>
      <c r="F68" s="7"/>
      <c r="G68" s="7"/>
      <c r="H68" s="7"/>
      <c r="I68" s="42" t="s">
        <v>17</v>
      </c>
      <c r="J68" s="34">
        <v>7.6858240525915296</v>
      </c>
      <c r="K68" s="7"/>
      <c r="L68" s="7"/>
      <c r="M68" s="7"/>
      <c r="N68" s="7"/>
      <c r="O68" s="7"/>
      <c r="P68" s="7"/>
      <c r="Q68" s="7"/>
      <c r="R68" s="6"/>
      <c r="S68" s="7"/>
      <c r="T68" s="7"/>
      <c r="U68" s="7"/>
      <c r="V68" s="7"/>
      <c r="W68" s="7"/>
      <c r="X68" s="7"/>
      <c r="Y68" s="7"/>
    </row>
    <row r="69" spans="1:25" ht="13.15" customHeight="1" x14ac:dyDescent="0.3">
      <c r="A69" s="7"/>
      <c r="B69" s="14"/>
      <c r="C69" s="14"/>
      <c r="D69" s="14"/>
      <c r="E69" s="7"/>
      <c r="F69" s="7"/>
      <c r="G69" s="7"/>
      <c r="H69" s="7"/>
      <c r="I69" s="44" t="s">
        <v>4</v>
      </c>
      <c r="J69" s="34">
        <v>8.6593946034284025E-2</v>
      </c>
      <c r="K69" s="7"/>
      <c r="L69" s="7"/>
      <c r="M69" s="7"/>
      <c r="N69" s="7"/>
      <c r="O69" s="7"/>
      <c r="P69" s="7"/>
      <c r="Q69" s="7"/>
      <c r="R69" s="6"/>
      <c r="S69" s="7"/>
      <c r="T69" s="7"/>
      <c r="U69" s="7"/>
      <c r="V69" s="7"/>
      <c r="W69" s="7"/>
      <c r="X69" s="7"/>
      <c r="Y69" s="7"/>
    </row>
    <row r="70" spans="1:25" ht="13.15" customHeight="1" x14ac:dyDescent="0.3">
      <c r="A70" s="7"/>
      <c r="B70" s="14"/>
      <c r="C70" s="14"/>
      <c r="D70" s="14"/>
      <c r="E70" s="15"/>
      <c r="F70" s="17"/>
      <c r="G70" s="17"/>
      <c r="H70" s="17"/>
      <c r="I70" s="18"/>
      <c r="J70" s="7"/>
      <c r="K70" s="8"/>
      <c r="L70" s="8"/>
      <c r="M70" s="8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</row>
    <row r="71" spans="1:25" ht="13.15" customHeight="1" x14ac:dyDescent="0.3">
      <c r="A71" s="7"/>
      <c r="B71" s="14"/>
      <c r="C71" s="14"/>
      <c r="D71" s="14"/>
      <c r="E71" s="15"/>
      <c r="F71" s="17"/>
      <c r="G71" s="17"/>
      <c r="H71" s="17"/>
      <c r="I71" s="18"/>
      <c r="J71" s="7"/>
      <c r="K71" s="8"/>
      <c r="L71" s="8"/>
      <c r="M71" s="8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</row>
    <row r="72" spans="1:25" ht="13.15" customHeight="1" x14ac:dyDescent="0.3">
      <c r="A72" s="7"/>
      <c r="B72" s="14"/>
      <c r="C72" s="14"/>
      <c r="D72" s="14"/>
      <c r="E72" s="15"/>
      <c r="F72" s="17"/>
      <c r="G72" s="17"/>
      <c r="H72" s="17"/>
      <c r="I72" s="18"/>
      <c r="J72" s="7"/>
      <c r="K72" s="8"/>
      <c r="L72" s="8"/>
      <c r="M72" s="8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</row>
    <row r="73" spans="1:25" ht="13.15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16" t="s">
        <v>12</v>
      </c>
      <c r="L73" s="8"/>
      <c r="M73" s="8"/>
      <c r="N73" s="8"/>
      <c r="O73" s="8"/>
      <c r="P73" s="7"/>
      <c r="Q73" s="7"/>
      <c r="R73" s="7"/>
      <c r="S73" s="7"/>
      <c r="T73" s="7"/>
      <c r="U73" s="7"/>
      <c r="V73" s="7"/>
      <c r="W73" s="7"/>
      <c r="X73" s="7"/>
      <c r="Y73" s="7"/>
    </row>
    <row r="74" spans="1:25" ht="13.15" customHeight="1" x14ac:dyDescent="0.35">
      <c r="A74" s="7"/>
      <c r="B74" s="46"/>
      <c r="C74" s="45" t="s">
        <v>0</v>
      </c>
      <c r="D74" s="45" t="s">
        <v>1</v>
      </c>
      <c r="E74" s="45" t="s">
        <v>3</v>
      </c>
      <c r="F74" s="45" t="s">
        <v>5</v>
      </c>
      <c r="G74" s="45" t="s">
        <v>6</v>
      </c>
      <c r="H74" s="45" t="s">
        <v>7</v>
      </c>
      <c r="I74" s="45" t="s">
        <v>8</v>
      </c>
      <c r="J74" s="45" t="s">
        <v>9</v>
      </c>
      <c r="K74" s="25" t="s">
        <v>11</v>
      </c>
      <c r="L74" s="8"/>
      <c r="M74" s="8"/>
      <c r="N74" s="8"/>
      <c r="O74" s="8"/>
      <c r="P74" s="7"/>
      <c r="Q74" s="7"/>
      <c r="R74" s="6"/>
      <c r="T74" s="7"/>
      <c r="U74" s="7"/>
      <c r="V74" s="7"/>
      <c r="W74" s="7"/>
      <c r="X74" s="7"/>
      <c r="Y74" s="7"/>
    </row>
    <row r="75" spans="1:25" ht="13.15" customHeight="1" x14ac:dyDescent="0.3">
      <c r="A75" s="7"/>
      <c r="B75" s="45" t="s">
        <v>0</v>
      </c>
      <c r="C75" s="10">
        <v>1</v>
      </c>
      <c r="D75" s="16">
        <v>3</v>
      </c>
      <c r="E75" s="16">
        <v>4</v>
      </c>
      <c r="F75" s="21">
        <v>5</v>
      </c>
      <c r="G75" s="21">
        <v>6</v>
      </c>
      <c r="H75" s="21">
        <v>7</v>
      </c>
      <c r="I75" s="21">
        <v>8</v>
      </c>
      <c r="J75" s="21">
        <v>9</v>
      </c>
      <c r="K75" s="27">
        <f t="array" ref="K75:K84">ahpmat_rgm(C75:J82)</f>
        <v>0.36297612160094483</v>
      </c>
      <c r="L75" s="8"/>
      <c r="M75" s="8"/>
      <c r="N75" s="8"/>
      <c r="O75" s="8"/>
      <c r="P75" s="8"/>
      <c r="Q75" s="7"/>
      <c r="R75" s="6"/>
      <c r="T75" s="7"/>
      <c r="U75" s="7"/>
      <c r="V75" s="7"/>
      <c r="W75" s="7"/>
      <c r="X75" s="7"/>
      <c r="Y75" s="7"/>
    </row>
    <row r="76" spans="1:25" ht="13.15" customHeight="1" x14ac:dyDescent="0.3">
      <c r="A76" s="7"/>
      <c r="B76" s="45" t="s">
        <v>1</v>
      </c>
      <c r="C76" s="12">
        <f>1/D75</f>
        <v>0.33333333333333331</v>
      </c>
      <c r="D76" s="10">
        <v>1</v>
      </c>
      <c r="E76" s="16">
        <v>2</v>
      </c>
      <c r="F76" s="21">
        <v>3</v>
      </c>
      <c r="G76" s="21">
        <v>5</v>
      </c>
      <c r="H76" s="21">
        <v>6</v>
      </c>
      <c r="I76" s="21">
        <v>7</v>
      </c>
      <c r="J76" s="21">
        <v>8</v>
      </c>
      <c r="K76" s="27">
        <v>0.2204595090431484</v>
      </c>
      <c r="L76" s="8"/>
      <c r="M76" s="8"/>
      <c r="N76" s="8"/>
      <c r="O76" s="8"/>
      <c r="P76" s="8"/>
      <c r="Q76" s="7"/>
      <c r="R76" s="6"/>
      <c r="T76" s="7"/>
      <c r="U76" s="7"/>
      <c r="V76" s="7"/>
      <c r="W76" s="7"/>
      <c r="X76" s="7"/>
      <c r="Y76" s="7"/>
    </row>
    <row r="77" spans="1:25" ht="13.15" customHeight="1" x14ac:dyDescent="0.3">
      <c r="A77" s="7"/>
      <c r="B77" s="45" t="s">
        <v>3</v>
      </c>
      <c r="C77" s="12">
        <f>1/E75</f>
        <v>0.25</v>
      </c>
      <c r="D77" s="12">
        <f>1/E76</f>
        <v>0.5</v>
      </c>
      <c r="E77" s="10">
        <v>1</v>
      </c>
      <c r="F77" s="21">
        <v>3</v>
      </c>
      <c r="G77" s="21">
        <v>4</v>
      </c>
      <c r="H77" s="21">
        <v>5</v>
      </c>
      <c r="I77" s="21">
        <v>6</v>
      </c>
      <c r="J77" s="21">
        <v>7</v>
      </c>
      <c r="K77" s="27">
        <v>0.1639929753705722</v>
      </c>
      <c r="L77" s="8"/>
      <c r="M77" s="8"/>
      <c r="N77" s="8"/>
      <c r="O77" s="8"/>
      <c r="P77" s="8"/>
      <c r="Q77" s="7"/>
      <c r="R77" s="6"/>
      <c r="T77" s="7"/>
      <c r="U77" s="7"/>
      <c r="V77" s="7"/>
      <c r="W77" s="7"/>
      <c r="X77" s="7"/>
      <c r="Y77" s="7"/>
    </row>
    <row r="78" spans="1:25" ht="13.15" customHeight="1" x14ac:dyDescent="0.3">
      <c r="A78" s="7"/>
      <c r="B78" s="45" t="s">
        <v>5</v>
      </c>
      <c r="C78" s="12">
        <f>1/F75</f>
        <v>0.2</v>
      </c>
      <c r="D78" s="12">
        <f>1/F76</f>
        <v>0.33333333333333331</v>
      </c>
      <c r="E78" s="12">
        <f>1/F77</f>
        <v>0.33333333333333331</v>
      </c>
      <c r="F78" s="10">
        <v>1</v>
      </c>
      <c r="G78" s="21">
        <v>3</v>
      </c>
      <c r="H78" s="21">
        <v>4</v>
      </c>
      <c r="I78" s="21">
        <v>5</v>
      </c>
      <c r="J78" s="21">
        <v>6</v>
      </c>
      <c r="K78" s="27">
        <v>0.10361501032708915</v>
      </c>
      <c r="L78" s="8"/>
      <c r="M78" s="8"/>
      <c r="N78" s="8"/>
      <c r="O78" s="8"/>
      <c r="P78" s="7"/>
      <c r="Q78" s="7"/>
      <c r="R78" s="6"/>
      <c r="T78" s="7"/>
      <c r="U78" s="7"/>
      <c r="V78" s="7"/>
      <c r="W78" s="7"/>
      <c r="X78" s="7"/>
      <c r="Y78" s="7"/>
    </row>
    <row r="79" spans="1:25" ht="13.15" customHeight="1" x14ac:dyDescent="0.3">
      <c r="A79" s="7"/>
      <c r="B79" s="45" t="s">
        <v>6</v>
      </c>
      <c r="C79" s="22">
        <f>1/G75</f>
        <v>0.16666666666666666</v>
      </c>
      <c r="D79" s="22">
        <f>1/G76</f>
        <v>0.2</v>
      </c>
      <c r="E79" s="22">
        <f>1/G77</f>
        <v>0.25</v>
      </c>
      <c r="F79" s="22">
        <f>1/G78</f>
        <v>0.33333333333333331</v>
      </c>
      <c r="G79" s="23">
        <v>1</v>
      </c>
      <c r="H79" s="21">
        <v>3</v>
      </c>
      <c r="I79" s="21">
        <v>4</v>
      </c>
      <c r="J79" s="21">
        <v>5</v>
      </c>
      <c r="K79" s="27">
        <v>6.3865676959758394E-2</v>
      </c>
      <c r="L79" s="8"/>
      <c r="M79" s="8"/>
      <c r="N79" s="8"/>
      <c r="O79" s="8"/>
      <c r="P79" s="7"/>
      <c r="Q79" s="7"/>
      <c r="R79" s="6"/>
      <c r="T79" s="7"/>
      <c r="U79" s="7"/>
      <c r="V79" s="7"/>
      <c r="W79" s="7"/>
      <c r="X79" s="7"/>
      <c r="Y79" s="7"/>
    </row>
    <row r="80" spans="1:25" ht="13.15" customHeight="1" x14ac:dyDescent="0.3">
      <c r="A80" s="7"/>
      <c r="B80" s="45" t="s">
        <v>7</v>
      </c>
      <c r="C80" s="12">
        <f>1/H75</f>
        <v>0.14285714285714285</v>
      </c>
      <c r="D80" s="12">
        <f>1/H76</f>
        <v>0.16666666666666666</v>
      </c>
      <c r="E80" s="12">
        <f>1/H77</f>
        <v>0.2</v>
      </c>
      <c r="F80" s="12">
        <f>1/H78</f>
        <v>0.25</v>
      </c>
      <c r="G80" s="12">
        <f>1/H79</f>
        <v>0.33333333333333331</v>
      </c>
      <c r="H80" s="10">
        <v>1</v>
      </c>
      <c r="I80" s="16">
        <v>3</v>
      </c>
      <c r="J80" s="21">
        <v>4</v>
      </c>
      <c r="K80" s="27">
        <v>4.0950481669369994E-2</v>
      </c>
      <c r="L80" s="8"/>
      <c r="M80" s="8"/>
      <c r="N80" s="8"/>
      <c r="O80" s="8"/>
      <c r="P80" s="7"/>
      <c r="Q80" s="7"/>
      <c r="R80" s="6"/>
      <c r="T80" s="7"/>
      <c r="U80" s="7"/>
      <c r="V80" s="7"/>
      <c r="W80" s="7"/>
      <c r="X80" s="7"/>
      <c r="Y80" s="7"/>
    </row>
    <row r="81" spans="1:25" ht="13.15" customHeight="1" x14ac:dyDescent="0.3">
      <c r="A81" s="7"/>
      <c r="B81" s="45" t="s">
        <v>8</v>
      </c>
      <c r="C81" s="12">
        <f>1/I75</f>
        <v>0.125</v>
      </c>
      <c r="D81" s="12">
        <f>1/I76</f>
        <v>0.14285714285714285</v>
      </c>
      <c r="E81" s="12">
        <f>1/I77</f>
        <v>0.16666666666666666</v>
      </c>
      <c r="F81" s="12">
        <f>1/I78</f>
        <v>0.2</v>
      </c>
      <c r="G81" s="12">
        <f>1/I79</f>
        <v>0.25</v>
      </c>
      <c r="H81" s="12">
        <f>1/I80</f>
        <v>0.33333333333333331</v>
      </c>
      <c r="I81" s="10">
        <v>1</v>
      </c>
      <c r="J81" s="16">
        <v>3</v>
      </c>
      <c r="K81" s="27">
        <v>2.6553102205425064E-2</v>
      </c>
      <c r="L81" s="8"/>
      <c r="M81" s="8"/>
      <c r="N81" s="8"/>
      <c r="O81" s="8"/>
      <c r="P81" s="7"/>
      <c r="Q81" s="7"/>
      <c r="R81" s="6"/>
      <c r="T81" s="7"/>
      <c r="U81" s="7"/>
      <c r="V81" s="7"/>
      <c r="W81" s="7"/>
      <c r="X81" s="7"/>
      <c r="Y81" s="7"/>
    </row>
    <row r="82" spans="1:25" ht="13.15" customHeight="1" x14ac:dyDescent="0.3">
      <c r="A82" s="7"/>
      <c r="B82" s="45" t="s">
        <v>9</v>
      </c>
      <c r="C82" s="12">
        <f>1/J75</f>
        <v>0.1111111111111111</v>
      </c>
      <c r="D82" s="12">
        <f>1/J76</f>
        <v>0.125</v>
      </c>
      <c r="E82" s="12">
        <f>1/J77</f>
        <v>0.14285714285714285</v>
      </c>
      <c r="F82" s="12">
        <f>1/J78</f>
        <v>0.16666666666666666</v>
      </c>
      <c r="G82" s="12">
        <f>1/J79</f>
        <v>0.2</v>
      </c>
      <c r="H82" s="12">
        <f>1/J80</f>
        <v>0.25</v>
      </c>
      <c r="I82" s="12">
        <f>1/J81</f>
        <v>0.33333333333333331</v>
      </c>
      <c r="J82" s="10">
        <v>1</v>
      </c>
      <c r="K82" s="27">
        <v>1.7587122823691945E-2</v>
      </c>
      <c r="L82" s="8"/>
      <c r="M82" s="8"/>
      <c r="N82" s="8"/>
      <c r="O82" s="8"/>
      <c r="P82" s="7"/>
      <c r="Q82" s="7"/>
      <c r="R82" s="6"/>
      <c r="T82" s="7"/>
      <c r="U82" s="7"/>
      <c r="V82" s="7"/>
      <c r="W82" s="7"/>
      <c r="X82" s="7"/>
      <c r="Y82" s="7"/>
    </row>
    <row r="83" spans="1:25" ht="13.15" customHeight="1" x14ac:dyDescent="0.3">
      <c r="A83" s="7"/>
      <c r="B83" s="14"/>
      <c r="C83" s="14"/>
      <c r="D83" s="14"/>
      <c r="E83" s="15"/>
      <c r="F83" s="17"/>
      <c r="G83" s="7"/>
      <c r="H83" s="7"/>
      <c r="I83" s="7"/>
      <c r="J83" s="42" t="s">
        <v>17</v>
      </c>
      <c r="K83" s="34">
        <v>8.7609339097794425</v>
      </c>
      <c r="L83" s="8"/>
      <c r="M83" s="8"/>
      <c r="N83" s="8"/>
      <c r="O83" s="8"/>
      <c r="P83" s="7"/>
      <c r="Q83" s="7"/>
      <c r="R83" s="6"/>
      <c r="T83" s="7"/>
      <c r="U83" s="7"/>
      <c r="V83" s="7"/>
      <c r="W83" s="7"/>
      <c r="X83" s="7"/>
      <c r="Y83" s="7"/>
    </row>
    <row r="84" spans="1:25" ht="13.15" customHeight="1" x14ac:dyDescent="0.3">
      <c r="A84" s="7"/>
      <c r="B84" s="14"/>
      <c r="C84" s="14"/>
      <c r="D84" s="14"/>
      <c r="E84" s="15"/>
      <c r="F84" s="17"/>
      <c r="G84" s="7"/>
      <c r="H84" s="7"/>
      <c r="I84" s="7"/>
      <c r="J84" s="44" t="s">
        <v>4</v>
      </c>
      <c r="K84" s="34">
        <v>7.70956342228412E-2</v>
      </c>
      <c r="L84" s="8"/>
      <c r="M84" s="8"/>
      <c r="N84" s="8"/>
      <c r="O84" s="8"/>
      <c r="P84" s="7"/>
      <c r="Q84" s="7"/>
      <c r="R84" s="6"/>
      <c r="T84" s="7"/>
      <c r="U84" s="7"/>
      <c r="V84" s="7"/>
      <c r="W84" s="7"/>
      <c r="X84" s="7"/>
      <c r="Y84" s="7"/>
    </row>
    <row r="85" spans="1:25" ht="13.15" customHeight="1" x14ac:dyDescent="0.3">
      <c r="A85" s="7"/>
      <c r="B85" s="14"/>
      <c r="C85" s="14"/>
      <c r="D85" s="14"/>
      <c r="E85" s="15"/>
      <c r="F85" s="17"/>
      <c r="G85" s="17"/>
      <c r="H85" s="17"/>
      <c r="I85" s="17"/>
      <c r="J85" s="18"/>
      <c r="K85" s="7"/>
      <c r="L85" s="8"/>
      <c r="M85" s="8"/>
      <c r="N85" s="8"/>
      <c r="O85" s="8"/>
      <c r="P85" s="7"/>
      <c r="Q85" s="7"/>
      <c r="R85" s="7"/>
      <c r="S85" s="7"/>
      <c r="T85" s="7"/>
      <c r="U85" s="7"/>
      <c r="V85" s="7"/>
      <c r="W85" s="7"/>
      <c r="X85" s="7"/>
      <c r="Y85" s="7"/>
    </row>
    <row r="86" spans="1:25" ht="13.15" customHeight="1" x14ac:dyDescent="0.3">
      <c r="A86" s="7"/>
      <c r="B86" s="14"/>
      <c r="C86" s="14"/>
      <c r="D86" s="14"/>
      <c r="E86" s="15"/>
      <c r="F86" s="17"/>
      <c r="G86" s="17"/>
      <c r="H86" s="17"/>
      <c r="I86" s="17"/>
      <c r="J86" s="18"/>
      <c r="K86" s="7"/>
      <c r="L86" s="7"/>
      <c r="M86" s="7"/>
      <c r="N86" s="8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</row>
    <row r="87" spans="1:25" ht="13.15" customHeight="1" x14ac:dyDescent="0.3">
      <c r="A87" s="7"/>
      <c r="B87" s="14"/>
      <c r="C87" s="14"/>
      <c r="D87" s="14"/>
      <c r="E87" s="15"/>
      <c r="F87" s="17"/>
      <c r="G87" s="17"/>
      <c r="H87" s="17"/>
      <c r="I87" s="17"/>
      <c r="J87" s="18"/>
      <c r="K87" s="7"/>
      <c r="L87" s="8"/>
      <c r="M87" s="8"/>
      <c r="N87" s="8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</row>
    <row r="88" spans="1:25" ht="13.15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16" t="s">
        <v>12</v>
      </c>
      <c r="M88" s="8"/>
      <c r="N88" s="8"/>
      <c r="O88" s="8"/>
      <c r="P88" s="7"/>
      <c r="Q88" s="7"/>
      <c r="R88" s="7"/>
      <c r="S88" s="7"/>
      <c r="T88" s="7"/>
      <c r="U88" s="7"/>
      <c r="V88" s="7"/>
      <c r="W88" s="7"/>
      <c r="X88" s="7"/>
      <c r="Y88" s="7"/>
    </row>
    <row r="89" spans="1:25" ht="13.15" customHeight="1" x14ac:dyDescent="0.35">
      <c r="A89" s="7"/>
      <c r="B89" s="46"/>
      <c r="C89" s="45" t="s">
        <v>0</v>
      </c>
      <c r="D89" s="45" t="s">
        <v>1</v>
      </c>
      <c r="E89" s="45" t="s">
        <v>3</v>
      </c>
      <c r="F89" s="45" t="s">
        <v>5</v>
      </c>
      <c r="G89" s="45" t="s">
        <v>6</v>
      </c>
      <c r="H89" s="45" t="s">
        <v>7</v>
      </c>
      <c r="I89" s="45" t="s">
        <v>8</v>
      </c>
      <c r="J89" s="45" t="s">
        <v>9</v>
      </c>
      <c r="K89" s="45" t="s">
        <v>10</v>
      </c>
      <c r="L89" s="25" t="s">
        <v>11</v>
      </c>
      <c r="M89" s="8"/>
      <c r="N89" s="8"/>
      <c r="O89" s="8"/>
      <c r="P89" s="8"/>
      <c r="Q89" s="7"/>
      <c r="R89" s="6"/>
      <c r="U89" s="7"/>
      <c r="V89" s="7"/>
      <c r="W89" s="7"/>
      <c r="X89" s="7"/>
      <c r="Y89" s="7"/>
    </row>
    <row r="90" spans="1:25" ht="13.15" customHeight="1" x14ac:dyDescent="0.3">
      <c r="A90" s="7"/>
      <c r="B90" s="45" t="s">
        <v>0</v>
      </c>
      <c r="C90" s="10">
        <v>1</v>
      </c>
      <c r="D90" s="16">
        <v>2</v>
      </c>
      <c r="E90" s="16">
        <v>3</v>
      </c>
      <c r="F90" s="21">
        <v>4</v>
      </c>
      <c r="G90" s="21">
        <v>5</v>
      </c>
      <c r="H90" s="21">
        <v>6</v>
      </c>
      <c r="I90" s="21">
        <v>7</v>
      </c>
      <c r="J90" s="21">
        <v>8</v>
      </c>
      <c r="K90" s="21">
        <v>9</v>
      </c>
      <c r="L90" s="27">
        <f t="array" ref="L90:L100">ahpmat_rgm(C90:K98)</f>
        <v>0.30811964533150416</v>
      </c>
      <c r="M90" s="8"/>
      <c r="N90" s="8"/>
      <c r="O90" s="8"/>
      <c r="P90" s="7"/>
      <c r="Q90" s="8"/>
      <c r="R90" s="6"/>
      <c r="U90" s="7"/>
      <c r="V90" s="7"/>
      <c r="W90" s="7"/>
      <c r="X90" s="7"/>
      <c r="Y90" s="7"/>
    </row>
    <row r="91" spans="1:25" ht="13.15" customHeight="1" x14ac:dyDescent="0.3">
      <c r="A91" s="7"/>
      <c r="B91" s="45" t="s">
        <v>1</v>
      </c>
      <c r="C91" s="12">
        <f>1/D90</f>
        <v>0.5</v>
      </c>
      <c r="D91" s="10">
        <v>1</v>
      </c>
      <c r="E91" s="16">
        <v>2</v>
      </c>
      <c r="F91" s="21">
        <v>3</v>
      </c>
      <c r="G91" s="21">
        <v>4</v>
      </c>
      <c r="H91" s="21">
        <v>5</v>
      </c>
      <c r="I91" s="21">
        <v>6</v>
      </c>
      <c r="J91" s="21">
        <v>7</v>
      </c>
      <c r="K91" s="21">
        <v>8</v>
      </c>
      <c r="L91" s="27">
        <v>0.22348308947067055</v>
      </c>
      <c r="M91" s="8"/>
      <c r="N91" s="8"/>
      <c r="O91" s="8"/>
      <c r="P91" s="8"/>
      <c r="Q91" s="8"/>
      <c r="R91" s="6"/>
      <c r="U91" s="7"/>
      <c r="V91" s="7"/>
      <c r="W91" s="7"/>
      <c r="X91" s="7"/>
      <c r="Y91" s="7"/>
    </row>
    <row r="92" spans="1:25" ht="13.15" customHeight="1" x14ac:dyDescent="0.3">
      <c r="A92" s="7"/>
      <c r="B92" s="45" t="s">
        <v>3</v>
      </c>
      <c r="C92" s="12">
        <f>1/E90</f>
        <v>0.33333333333333331</v>
      </c>
      <c r="D92" s="12">
        <f>1/E91</f>
        <v>0.5</v>
      </c>
      <c r="E92" s="10">
        <v>1</v>
      </c>
      <c r="F92" s="21">
        <v>2</v>
      </c>
      <c r="G92" s="21">
        <v>3</v>
      </c>
      <c r="H92" s="21">
        <v>4</v>
      </c>
      <c r="I92" s="21">
        <v>5</v>
      </c>
      <c r="J92" s="21">
        <v>6</v>
      </c>
      <c r="K92" s="21">
        <v>7</v>
      </c>
      <c r="L92" s="27">
        <v>0.15699573770540709</v>
      </c>
      <c r="M92" s="8"/>
      <c r="N92" s="8"/>
      <c r="O92" s="8"/>
      <c r="P92" s="8"/>
      <c r="Q92" s="8"/>
      <c r="R92" s="6"/>
      <c r="U92" s="7"/>
      <c r="V92" s="7"/>
      <c r="W92" s="7"/>
      <c r="X92" s="7"/>
      <c r="Y92" s="7"/>
    </row>
    <row r="93" spans="1:25" ht="13.15" customHeight="1" x14ac:dyDescent="0.3">
      <c r="A93" s="7"/>
      <c r="B93" s="45" t="s">
        <v>5</v>
      </c>
      <c r="C93" s="12">
        <f>1/F90</f>
        <v>0.25</v>
      </c>
      <c r="D93" s="12">
        <f>1/F91</f>
        <v>0.33333333333333331</v>
      </c>
      <c r="E93" s="12">
        <f>1/F92</f>
        <v>0.5</v>
      </c>
      <c r="F93" s="10">
        <v>1</v>
      </c>
      <c r="G93" s="21">
        <v>2</v>
      </c>
      <c r="H93" s="21">
        <v>3</v>
      </c>
      <c r="I93" s="21">
        <v>4</v>
      </c>
      <c r="J93" s="21">
        <v>5</v>
      </c>
      <c r="K93" s="21">
        <v>6</v>
      </c>
      <c r="L93" s="27">
        <v>0.10841578657702851</v>
      </c>
      <c r="M93" s="8"/>
      <c r="N93" s="8"/>
      <c r="O93" s="8"/>
      <c r="P93" s="8"/>
      <c r="Q93" s="7"/>
      <c r="R93" s="6"/>
      <c r="U93" s="7"/>
      <c r="V93" s="7"/>
      <c r="W93" s="7"/>
      <c r="X93" s="7"/>
      <c r="Y93" s="7"/>
    </row>
    <row r="94" spans="1:25" ht="13.15" customHeight="1" x14ac:dyDescent="0.3">
      <c r="A94" s="7"/>
      <c r="B94" s="45" t="s">
        <v>6</v>
      </c>
      <c r="C94" s="22">
        <f>1/G90</f>
        <v>0.2</v>
      </c>
      <c r="D94" s="22">
        <f>1/G91</f>
        <v>0.25</v>
      </c>
      <c r="E94" s="22">
        <f>1/G92</f>
        <v>0.33333333333333331</v>
      </c>
      <c r="F94" s="22">
        <f>1/G93</f>
        <v>0.5</v>
      </c>
      <c r="G94" s="23">
        <v>1</v>
      </c>
      <c r="H94" s="21">
        <v>2</v>
      </c>
      <c r="I94" s="21">
        <v>3</v>
      </c>
      <c r="J94" s="21">
        <v>4</v>
      </c>
      <c r="K94" s="21">
        <v>5</v>
      </c>
      <c r="L94" s="27">
        <v>7.4296429162660327E-2</v>
      </c>
      <c r="M94" s="8"/>
      <c r="N94" s="8"/>
      <c r="O94" s="8"/>
      <c r="P94" s="8"/>
      <c r="Q94" s="7"/>
      <c r="R94" s="6"/>
      <c r="U94" s="7"/>
      <c r="V94" s="7"/>
      <c r="W94" s="7"/>
      <c r="X94" s="7"/>
      <c r="Y94" s="7"/>
    </row>
    <row r="95" spans="1:25" ht="13.15" customHeight="1" x14ac:dyDescent="0.3">
      <c r="A95" s="7"/>
      <c r="B95" s="45" t="s">
        <v>7</v>
      </c>
      <c r="C95" s="12">
        <f>1/H90</f>
        <v>0.16666666666666666</v>
      </c>
      <c r="D95" s="12">
        <f>1/H91</f>
        <v>0.2</v>
      </c>
      <c r="E95" s="12">
        <f>1/H92</f>
        <v>0.25</v>
      </c>
      <c r="F95" s="12">
        <f>1/H93</f>
        <v>0.33333333333333331</v>
      </c>
      <c r="G95" s="12">
        <f>1/H94</f>
        <v>0.5</v>
      </c>
      <c r="H95" s="10">
        <v>1</v>
      </c>
      <c r="I95" s="16">
        <v>2</v>
      </c>
      <c r="J95" s="21">
        <v>3</v>
      </c>
      <c r="K95" s="21">
        <v>4</v>
      </c>
      <c r="L95" s="27">
        <v>5.0914719715659848E-2</v>
      </c>
      <c r="M95" s="8"/>
      <c r="N95" s="8"/>
      <c r="O95" s="8"/>
      <c r="P95" s="8"/>
      <c r="Q95" s="7"/>
      <c r="R95" s="6"/>
      <c r="U95" s="7"/>
      <c r="V95" s="7"/>
      <c r="W95" s="7"/>
      <c r="X95" s="7"/>
      <c r="Y95" s="7"/>
    </row>
    <row r="96" spans="1:25" ht="13.15" customHeight="1" x14ac:dyDescent="0.3">
      <c r="A96" s="7"/>
      <c r="B96" s="45" t="s">
        <v>8</v>
      </c>
      <c r="C96" s="12">
        <f>1/I90</f>
        <v>0.14285714285714285</v>
      </c>
      <c r="D96" s="12">
        <f>1/I91</f>
        <v>0.16666666666666666</v>
      </c>
      <c r="E96" s="12">
        <f>1/I92</f>
        <v>0.2</v>
      </c>
      <c r="F96" s="12">
        <f>1/I93</f>
        <v>0.25</v>
      </c>
      <c r="G96" s="12">
        <f>1/I94</f>
        <v>0.33333333333333331</v>
      </c>
      <c r="H96" s="12">
        <f>1/I95</f>
        <v>0.5</v>
      </c>
      <c r="I96" s="10">
        <v>1</v>
      </c>
      <c r="J96" s="16">
        <v>2</v>
      </c>
      <c r="K96" s="16">
        <v>3</v>
      </c>
      <c r="L96" s="27">
        <v>3.5159931517886628E-2</v>
      </c>
      <c r="M96" s="8"/>
      <c r="N96" s="8"/>
      <c r="O96" s="8"/>
      <c r="P96" s="8"/>
      <c r="Q96" s="7"/>
      <c r="R96" s="6"/>
      <c r="U96" s="7"/>
      <c r="V96" s="7"/>
      <c r="W96" s="7"/>
      <c r="X96" s="7"/>
      <c r="Y96" s="7"/>
    </row>
    <row r="97" spans="1:25" ht="13.15" customHeight="1" x14ac:dyDescent="0.3">
      <c r="A97" s="7"/>
      <c r="B97" s="45" t="s">
        <v>9</v>
      </c>
      <c r="C97" s="12">
        <f>1/J90</f>
        <v>0.125</v>
      </c>
      <c r="D97" s="12">
        <f>1/J91</f>
        <v>0.14285714285714285</v>
      </c>
      <c r="E97" s="12">
        <f>1/J92</f>
        <v>0.16666666666666666</v>
      </c>
      <c r="F97" s="12">
        <f>1/J93</f>
        <v>0.2</v>
      </c>
      <c r="G97" s="12">
        <f>1/J94</f>
        <v>0.25</v>
      </c>
      <c r="H97" s="12">
        <f>1/J95</f>
        <v>0.33333333333333331</v>
      </c>
      <c r="I97" s="12">
        <f>1/J96</f>
        <v>0.5</v>
      </c>
      <c r="J97" s="10">
        <v>1</v>
      </c>
      <c r="K97" s="16">
        <v>2</v>
      </c>
      <c r="L97" s="27">
        <v>2.4699673695206512E-2</v>
      </c>
      <c r="M97" s="8"/>
      <c r="N97" s="8"/>
      <c r="O97" s="8"/>
      <c r="P97" s="8"/>
      <c r="Q97" s="7"/>
      <c r="R97" s="6"/>
      <c r="U97" s="7"/>
      <c r="V97" s="7"/>
      <c r="W97" s="7"/>
      <c r="X97" s="7"/>
      <c r="Y97" s="7"/>
    </row>
    <row r="98" spans="1:25" ht="13.15" customHeight="1" x14ac:dyDescent="0.3">
      <c r="A98" s="7"/>
      <c r="B98" s="45" t="s">
        <v>10</v>
      </c>
      <c r="C98" s="12">
        <f>1/K90</f>
        <v>0.1111111111111111</v>
      </c>
      <c r="D98" s="12">
        <f>1/K91</f>
        <v>0.125</v>
      </c>
      <c r="E98" s="12">
        <f>1/K92</f>
        <v>0.14285714285714285</v>
      </c>
      <c r="F98" s="12">
        <f>1/K93</f>
        <v>0.16666666666666666</v>
      </c>
      <c r="G98" s="12">
        <f>1/K94</f>
        <v>0.2</v>
      </c>
      <c r="H98" s="12">
        <f>1/K95</f>
        <v>0.25</v>
      </c>
      <c r="I98" s="12">
        <f>1/K96</f>
        <v>0.33333333333333331</v>
      </c>
      <c r="J98" s="12">
        <f>1/K97</f>
        <v>0.5</v>
      </c>
      <c r="K98" s="10">
        <v>1</v>
      </c>
      <c r="L98" s="27">
        <v>1.7914986823976482E-2</v>
      </c>
      <c r="M98" s="8"/>
      <c r="N98" s="8"/>
      <c r="O98" s="8"/>
      <c r="P98" s="8"/>
      <c r="Q98" s="7"/>
      <c r="R98" s="6"/>
      <c r="U98" s="7"/>
      <c r="V98" s="7"/>
      <c r="W98" s="7"/>
      <c r="X98" s="7"/>
      <c r="Y98" s="7"/>
    </row>
    <row r="99" spans="1:25" ht="13.15" customHeight="1" x14ac:dyDescent="0.3">
      <c r="A99" s="7"/>
      <c r="B99" s="14"/>
      <c r="C99" s="14"/>
      <c r="D99" s="14"/>
      <c r="E99" s="15"/>
      <c r="F99" s="17"/>
      <c r="G99" s="17"/>
      <c r="H99" s="17"/>
      <c r="I99" s="17"/>
      <c r="J99" s="7"/>
      <c r="K99" s="42" t="s">
        <v>17</v>
      </c>
      <c r="L99" s="34">
        <v>9.4004576946358185</v>
      </c>
      <c r="M99" s="8"/>
      <c r="N99" s="8"/>
      <c r="O99" s="8"/>
      <c r="P99" s="8"/>
      <c r="Q99" s="7"/>
      <c r="R99" s="6"/>
      <c r="U99" s="7"/>
      <c r="V99" s="7"/>
      <c r="W99" s="7"/>
      <c r="X99" s="7"/>
      <c r="Y99" s="7"/>
    </row>
    <row r="100" spans="1:25" ht="13.15" customHeight="1" x14ac:dyDescent="0.3">
      <c r="A100" s="7"/>
      <c r="B100" s="14"/>
      <c r="C100" s="14"/>
      <c r="D100" s="14"/>
      <c r="E100" s="15"/>
      <c r="F100" s="17"/>
      <c r="G100" s="17"/>
      <c r="H100" s="17"/>
      <c r="I100" s="17"/>
      <c r="J100" s="17"/>
      <c r="K100" s="44" t="s">
        <v>4</v>
      </c>
      <c r="L100" s="34">
        <v>3.4522215054811942E-2</v>
      </c>
      <c r="M100" s="8"/>
      <c r="N100" s="8"/>
      <c r="O100" s="8"/>
      <c r="P100" s="7"/>
      <c r="Q100" s="7"/>
      <c r="R100" s="6"/>
      <c r="U100" s="7"/>
      <c r="V100" s="7"/>
      <c r="W100" s="7"/>
      <c r="X100" s="7"/>
      <c r="Y100" s="7"/>
    </row>
    <row r="101" spans="1:25" ht="13.15" customHeight="1" x14ac:dyDescent="0.3">
      <c r="A101" s="7"/>
      <c r="B101" s="14"/>
      <c r="C101" s="14"/>
      <c r="D101" s="14"/>
      <c r="E101" s="15"/>
      <c r="F101" s="17"/>
      <c r="G101" s="17"/>
      <c r="H101" s="17"/>
      <c r="I101" s="17"/>
      <c r="J101" s="7"/>
      <c r="K101" s="7"/>
      <c r="L101" s="7"/>
      <c r="M101" s="18"/>
      <c r="N101" s="7"/>
      <c r="O101" s="8"/>
      <c r="P101" s="7"/>
      <c r="Q101" s="7"/>
      <c r="R101" s="7"/>
      <c r="S101" s="7"/>
      <c r="T101" s="7"/>
      <c r="U101" s="7"/>
      <c r="V101" s="7"/>
      <c r="W101" s="7"/>
      <c r="X101" s="7"/>
      <c r="Y101" s="7"/>
    </row>
    <row r="102" spans="1:25" ht="13.15" customHeight="1" x14ac:dyDescent="0.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</row>
    <row r="103" spans="1:25" ht="13.15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</row>
    <row r="104" spans="1:25" ht="13.15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</row>
    <row r="105" spans="1:25" ht="13.15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</row>
    <row r="106" spans="1:25" ht="13.15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</row>
    <row r="107" spans="1:25" ht="13.15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</row>
    <row r="108" spans="1:25" ht="13.15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</row>
    <row r="109" spans="1:25" ht="13.15" customHeight="1" x14ac:dyDescent="0.3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6"/>
    </row>
    <row r="110" spans="1:25" ht="13.15" customHeight="1" x14ac:dyDescent="0.3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</row>
    <row r="111" spans="1:25" ht="13.15" customHeight="1" x14ac:dyDescent="0.3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</row>
    <row r="112" spans="1:25" ht="13.15" customHeight="1" x14ac:dyDescent="0.3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</row>
    <row r="113" spans="1:17" ht="13.15" customHeight="1" x14ac:dyDescent="0.3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</row>
    <row r="114" spans="1:17" ht="13.15" customHeight="1" x14ac:dyDescent="0.3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</row>
    <row r="115" spans="1:17" ht="13.15" customHeight="1" x14ac:dyDescent="0.3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</row>
    <row r="116" spans="1:17" ht="13.15" customHeight="1" x14ac:dyDescent="0.3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</row>
    <row r="117" spans="1:17" ht="13.15" customHeight="1" x14ac:dyDescent="0.3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</row>
    <row r="118" spans="1:17" ht="13.15" customHeight="1" x14ac:dyDescent="0.3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</row>
    <row r="119" spans="1:17" ht="13.1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</row>
    <row r="120" spans="1:17" ht="13.1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</row>
    <row r="121" spans="1:17" ht="13.1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17" ht="13.1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7" ht="13.1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</row>
    <row r="124" spans="1:17" ht="13.1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</row>
    <row r="125" spans="1:17" ht="13.1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</row>
    <row r="126" spans="1:17" ht="13.1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17" ht="13.1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</row>
    <row r="128" spans="1:17" ht="13.1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</row>
    <row r="129" spans="1:16" ht="13.1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</row>
    <row r="130" spans="1:16" ht="13.1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</row>
    <row r="131" spans="1:16" ht="13.1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</row>
    <row r="132" spans="1:16" ht="13.1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</row>
    <row r="133" spans="1:16" ht="13.1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</row>
    <row r="134" spans="1:16" ht="13.1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</row>
    <row r="135" spans="1:16" ht="13.1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</row>
    <row r="136" spans="1:16" ht="13.1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</row>
    <row r="137" spans="1:16" ht="13.1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</row>
    <row r="138" spans="1:16" ht="13.1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</row>
    <row r="139" spans="1:16" ht="13.1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</row>
    <row r="140" spans="1:16" ht="13.1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</row>
    <row r="141" spans="1:16" ht="13.1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</row>
    <row r="142" spans="1:16" ht="13.1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</row>
    <row r="143" spans="1:16" ht="13.1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</row>
    <row r="144" spans="1:16" ht="13.1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</row>
    <row r="145" spans="1:16" ht="13.1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</row>
    <row r="146" spans="1:16" ht="13.1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</row>
    <row r="147" spans="1:16" ht="13.1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</row>
    <row r="148" spans="1:16" ht="13.1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</row>
    <row r="149" spans="1:16" ht="13.1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</row>
    <row r="150" spans="1:16" ht="13.1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</row>
    <row r="151" spans="1:16" ht="13.1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</row>
    <row r="152" spans="1:16" ht="13.1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</row>
    <row r="153" spans="1:16" ht="13.1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</row>
    <row r="154" spans="1:16" ht="13.1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</row>
    <row r="155" spans="1:16" ht="13.1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</row>
    <row r="156" spans="1:16" ht="13.1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</row>
    <row r="157" spans="1:16" ht="13.1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</row>
    <row r="158" spans="1:16" ht="13.1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</row>
    <row r="159" spans="1:16" ht="13.1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</row>
    <row r="160" spans="1:16" ht="13.1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</row>
    <row r="161" spans="1:16" ht="13.1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</row>
    <row r="162" spans="1:16" ht="13.1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</row>
    <row r="163" spans="1:16" ht="13.1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</row>
    <row r="164" spans="1:16" ht="13.1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</row>
    <row r="165" spans="1:16" ht="13.1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</row>
    <row r="166" spans="1:16" ht="13.1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</row>
    <row r="167" spans="1:16" ht="13.1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</row>
    <row r="168" spans="1:16" ht="13.1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</row>
    <row r="169" spans="1:16" ht="13.1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</row>
    <row r="170" spans="1:16" ht="13.1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</row>
    <row r="171" spans="1:16" ht="13.1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</row>
    <row r="172" spans="1:16" ht="13.1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</row>
    <row r="173" spans="1:16" ht="13.1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</row>
    <row r="174" spans="1:16" ht="13.1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</row>
    <row r="175" spans="1:16" ht="13.1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</row>
    <row r="176" spans="1:16" ht="13.1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</row>
    <row r="177" spans="1:16" ht="13.1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</row>
    <row r="178" spans="1:16" ht="13.1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</row>
    <row r="179" spans="1:16" ht="13.1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</row>
    <row r="180" spans="1:16" ht="13.1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</row>
    <row r="181" spans="1:16" ht="13.1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</row>
    <row r="182" spans="1:16" ht="13.1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</row>
    <row r="183" spans="1:16" ht="13.1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</row>
    <row r="184" spans="1:16" ht="13.1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</row>
    <row r="185" spans="1:16" ht="13.1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</row>
    <row r="186" spans="1:16" ht="13.1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</row>
    <row r="187" spans="1:16" ht="13.1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</row>
    <row r="188" spans="1:16" ht="13.1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</row>
    <row r="189" spans="1:16" ht="13.1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</row>
    <row r="190" spans="1:16" ht="13.1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</row>
    <row r="191" spans="1:16" ht="13.1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</row>
    <row r="192" spans="1:16" ht="13.1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</row>
    <row r="193" spans="1:16" ht="13.1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</row>
    <row r="194" spans="1:16" ht="13.1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</row>
    <row r="195" spans="1:16" ht="13.1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</row>
    <row r="196" spans="1:16" ht="13.1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</row>
    <row r="197" spans="1:16" ht="13.1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</row>
    <row r="198" spans="1:16" ht="13.1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</row>
    <row r="199" spans="1:16" ht="13.1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</row>
    <row r="200" spans="1:16" ht="13.1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</row>
    <row r="201" spans="1:16" ht="13.1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</row>
    <row r="202" spans="1:16" ht="13.1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</row>
    <row r="203" spans="1:16" ht="13.1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</row>
    <row r="204" spans="1:16" ht="13.1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</row>
    <row r="205" spans="1:16" ht="13.1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</row>
    <row r="206" spans="1:16" ht="13.1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</row>
    <row r="207" spans="1:16" ht="13.1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</row>
    <row r="208" spans="1:16" ht="13.1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</row>
    <row r="209" spans="1:16" ht="13.1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</row>
    <row r="210" spans="1:16" ht="13.1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</row>
    <row r="211" spans="1:16" ht="13.1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</row>
    <row r="212" spans="1:16" ht="13.1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</row>
    <row r="213" spans="1:16" ht="13.1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</row>
    <row r="214" spans="1:16" ht="13.1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</row>
    <row r="215" spans="1:16" ht="13.1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</row>
    <row r="216" spans="1:16" ht="13.1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</row>
    <row r="217" spans="1:16" ht="13.1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</row>
    <row r="218" spans="1:16" ht="13.1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</row>
    <row r="219" spans="1:16" ht="13.1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</row>
    <row r="220" spans="1:16" ht="13.1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</row>
    <row r="221" spans="1:16" ht="13.1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</row>
    <row r="222" spans="1:16" ht="13.1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</row>
    <row r="223" spans="1:16" ht="13.1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</row>
    <row r="224" spans="1:16" ht="13.1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</row>
    <row r="225" spans="1:16" ht="13.1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</row>
    <row r="226" spans="1:16" ht="13.1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</row>
    <row r="227" spans="1:16" ht="13.1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</row>
    <row r="228" spans="1:16" ht="13.1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</row>
    <row r="229" spans="1:16" ht="13.1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</row>
    <row r="230" spans="1:16" ht="13.1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</row>
    <row r="231" spans="1:16" ht="13.1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</row>
    <row r="232" spans="1:16" ht="13.1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</row>
    <row r="233" spans="1:16" ht="13.1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</row>
    <row r="234" spans="1:16" ht="13.1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</row>
    <row r="235" spans="1:16" ht="13.1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</row>
    <row r="236" spans="1:16" ht="13.1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</row>
    <row r="237" spans="1:16" ht="13.1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</row>
    <row r="238" spans="1:16" ht="13.1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</row>
    <row r="239" spans="1:16" ht="13.1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</row>
    <row r="240" spans="1:16" ht="13.1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</row>
    <row r="241" spans="1:16" ht="13.1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</row>
    <row r="242" spans="1:16" ht="13.1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</row>
    <row r="243" spans="1:16" ht="13.1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</row>
    <row r="244" spans="1:16" ht="13.1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</row>
    <row r="245" spans="1:16" ht="13.1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</row>
    <row r="246" spans="1:16" ht="13.1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</row>
    <row r="247" spans="1:16" ht="13.1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</row>
    <row r="248" spans="1:16" ht="13.1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</row>
    <row r="249" spans="1:16" ht="13.1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</row>
    <row r="250" spans="1:16" ht="13.15" customHeight="1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</row>
    <row r="251" spans="1:16" ht="13.15" customHeight="1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</row>
    <row r="252" spans="1:16" ht="13.15" customHeight="1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</row>
    <row r="253" spans="1:16" ht="13.15" customHeight="1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</row>
    <row r="254" spans="1:16" ht="13.15" customHeight="1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</row>
    <row r="255" spans="1:16" ht="13.15" customHeight="1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</row>
    <row r="256" spans="1:16" ht="13.15" customHeight="1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</row>
    <row r="257" spans="1:16" ht="13.15" customHeight="1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</row>
    <row r="258" spans="1:16" ht="13.15" customHeight="1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</row>
    <row r="259" spans="1:16" ht="13.15" customHeight="1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</row>
    <row r="260" spans="1:16" ht="13.15" customHeight="1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</row>
    <row r="261" spans="1:16" ht="13.15" customHeight="1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</row>
    <row r="262" spans="1:16" ht="13.15" customHeight="1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</row>
    <row r="263" spans="1:16" ht="13.15" customHeight="1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</row>
    <row r="264" spans="1:16" ht="13.15" customHeight="1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</row>
    <row r="265" spans="1:16" ht="13.15" customHeight="1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</row>
    <row r="266" spans="1:16" ht="13.15" customHeight="1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</row>
    <row r="267" spans="1:16" ht="13.15" customHeight="1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</row>
    <row r="268" spans="1:16" ht="13.15" customHeight="1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</row>
    <row r="269" spans="1:16" ht="13.15" customHeight="1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</row>
    <row r="270" spans="1:16" ht="13.15" customHeight="1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</row>
    <row r="271" spans="1:16" ht="13.15" customHeight="1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</row>
    <row r="272" spans="1:16" ht="13.15" customHeight="1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</row>
    <row r="273" spans="1:16" ht="13.15" customHeight="1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</row>
    <row r="274" spans="1:16" ht="13.15" customHeight="1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</row>
    <row r="275" spans="1:16" ht="13.15" customHeight="1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</row>
    <row r="276" spans="1:16" ht="13.15" customHeight="1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</row>
    <row r="277" spans="1:16" ht="13.15" customHeight="1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</row>
    <row r="278" spans="1:16" ht="13.15" customHeight="1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</row>
    <row r="279" spans="1:16" ht="13.15" customHeight="1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</row>
    <row r="280" spans="1:16" ht="13.15" customHeight="1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</row>
    <row r="281" spans="1:16" ht="13.15" customHeight="1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</row>
    <row r="282" spans="1:16" ht="13.15" customHeight="1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</row>
    <row r="283" spans="1:16" ht="13.15" customHeight="1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</row>
    <row r="284" spans="1:16" ht="13.15" customHeight="1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</row>
    <row r="285" spans="1:16" ht="13.15" customHeight="1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</row>
    <row r="286" spans="1:16" ht="13.15" customHeight="1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</row>
    <row r="287" spans="1:16" ht="13.15" customHeight="1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</row>
    <row r="288" spans="1:16" ht="13.15" customHeight="1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</row>
    <row r="289" spans="1:16" ht="13.15" customHeight="1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</row>
    <row r="290" spans="1:16" ht="13.15" customHeight="1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</row>
    <row r="291" spans="1:16" ht="13.15" customHeight="1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</row>
    <row r="292" spans="1:16" ht="13.15" customHeight="1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</row>
    <row r="293" spans="1:16" ht="13.15" customHeight="1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</row>
    <row r="294" spans="1:16" ht="13.15" customHeight="1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</row>
    <row r="295" spans="1:16" ht="13.15" customHeight="1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</row>
    <row r="296" spans="1:16" ht="13.15" customHeight="1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</row>
    <row r="297" spans="1:16" ht="13.15" customHeight="1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</row>
    <row r="298" spans="1:16" ht="13.15" customHeight="1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</row>
    <row r="299" spans="1:16" ht="13.15" customHeight="1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</row>
    <row r="300" spans="1:16" ht="13.15" customHeight="1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</row>
    <row r="301" spans="1:16" ht="13.15" customHeight="1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</row>
    <row r="302" spans="1:16" ht="13.15" customHeight="1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</row>
    <row r="303" spans="1:16" ht="13.15" customHeight="1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</row>
    <row r="304" spans="1:16" ht="13.15" customHeight="1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</row>
    <row r="305" spans="1:16" ht="13.15" customHeight="1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</row>
    <row r="306" spans="1:16" ht="13.15" customHeight="1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</row>
    <row r="307" spans="1:16" ht="13.15" customHeight="1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</row>
    <row r="308" spans="1:16" ht="13.15" customHeight="1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</row>
    <row r="309" spans="1:16" ht="13.15" customHeight="1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</row>
    <row r="310" spans="1:16" ht="13.15" customHeight="1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</row>
    <row r="311" spans="1:16" ht="13.15" customHeight="1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</row>
    <row r="312" spans="1:16" ht="13.15" customHeight="1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</row>
    <row r="313" spans="1:16" ht="13.15" customHeight="1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</row>
    <row r="314" spans="1:16" ht="13.15" customHeight="1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</row>
    <row r="315" spans="1:16" ht="13.15" customHeight="1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</row>
    <row r="316" spans="1:16" ht="13.15" customHeight="1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</row>
    <row r="317" spans="1:16" ht="13.15" customHeight="1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</row>
    <row r="318" spans="1:16" ht="13.15" customHeight="1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</row>
    <row r="319" spans="1:16" ht="13.15" customHeight="1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</row>
    <row r="320" spans="1:16" ht="13.15" customHeight="1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</row>
    <row r="321" spans="1:16" ht="13.15" customHeight="1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</row>
    <row r="322" spans="1:16" ht="13.15" customHeight="1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</row>
    <row r="323" spans="1:16" ht="13.15" customHeight="1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</row>
    <row r="324" spans="1:16" ht="13.15" customHeight="1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</row>
    <row r="325" spans="1:16" ht="13.15" customHeight="1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</row>
    <row r="326" spans="1:16" ht="13.15" customHeight="1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</row>
    <row r="327" spans="1:16" ht="13.15" customHeight="1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</row>
    <row r="328" spans="1:16" ht="13.15" customHeight="1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</row>
    <row r="329" spans="1:16" ht="13.15" customHeight="1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</row>
    <row r="330" spans="1:16" ht="13.15" customHeight="1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</row>
    <row r="331" spans="1:16" ht="13.15" customHeight="1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</row>
    <row r="332" spans="1:16" ht="13.15" customHeight="1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</row>
    <row r="333" spans="1:16" ht="13.15" customHeight="1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</row>
    <row r="334" spans="1:16" ht="13.15" customHeight="1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</row>
    <row r="335" spans="1:16" ht="13.15" customHeight="1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</row>
    <row r="336" spans="1:16" ht="13.15" customHeight="1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</row>
    <row r="337" spans="1:16" ht="13.15" customHeight="1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</row>
    <row r="338" spans="1:16" ht="13.15" customHeight="1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</row>
    <row r="339" spans="1:16" ht="13.15" customHeight="1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</row>
    <row r="340" spans="1:16" ht="13.15" customHeight="1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</row>
    <row r="341" spans="1:16" ht="13.15" customHeight="1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</row>
    <row r="342" spans="1:16" ht="13.15" customHeight="1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</row>
    <row r="343" spans="1:16" ht="13.15" customHeight="1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</row>
    <row r="344" spans="1:16" ht="13.15" customHeight="1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</row>
    <row r="345" spans="1:16" ht="13.15" customHeight="1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</row>
    <row r="346" spans="1:16" ht="13.15" customHeight="1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</row>
    <row r="347" spans="1:16" ht="13.15" customHeight="1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</row>
    <row r="348" spans="1:16" ht="13.15" customHeight="1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</row>
    <row r="349" spans="1:16" ht="13.15" customHeight="1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</row>
    <row r="350" spans="1:16" ht="13.15" customHeight="1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</row>
    <row r="351" spans="1:16" ht="13.15" customHeight="1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</row>
    <row r="352" spans="1:16" ht="13.15" customHeight="1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</row>
    <row r="353" spans="1:16" ht="13.15" customHeight="1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</row>
    <row r="354" spans="1:16" ht="13.15" customHeight="1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</row>
    <row r="355" spans="1:16" ht="13.15" customHeight="1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</row>
    <row r="356" spans="1:16" ht="13.15" customHeight="1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</row>
    <row r="357" spans="1:16" ht="13.15" customHeight="1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</row>
    <row r="358" spans="1:16" ht="13.15" customHeight="1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</row>
    <row r="359" spans="1:16" ht="13.15" customHeight="1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</row>
    <row r="360" spans="1:16" ht="13.15" customHeight="1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</row>
    <row r="361" spans="1:16" ht="13.15" customHeight="1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</row>
    <row r="362" spans="1:16" ht="13.15" customHeight="1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</row>
    <row r="363" spans="1:16" ht="13.15" customHeight="1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</row>
    <row r="364" spans="1:16" ht="13.15" customHeight="1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</row>
    <row r="365" spans="1:16" ht="13.15" customHeight="1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</row>
    <row r="366" spans="1:16" ht="13.15" customHeight="1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</row>
    <row r="367" spans="1:16" ht="13.15" customHeight="1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</row>
    <row r="368" spans="1:16" ht="13.15" customHeight="1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</row>
    <row r="369" spans="1:16" ht="13.15" customHeight="1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</row>
    <row r="370" spans="1:16" ht="13.15" customHeight="1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</row>
    <row r="371" spans="1:16" ht="13.15" customHeight="1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</row>
    <row r="372" spans="1:16" ht="13.15" customHeight="1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</row>
    <row r="373" spans="1:16" ht="13.15" customHeight="1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</row>
    <row r="374" spans="1:16" ht="13.15" customHeight="1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</row>
    <row r="375" spans="1:16" ht="13.15" customHeight="1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</row>
    <row r="376" spans="1:16" ht="13.15" customHeight="1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</row>
    <row r="377" spans="1:16" ht="13.15" customHeight="1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</row>
    <row r="378" spans="1:16" ht="13.15" customHeight="1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</row>
    <row r="379" spans="1:16" ht="13.15" customHeight="1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</row>
    <row r="380" spans="1:16" ht="13.15" customHeight="1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</row>
    <row r="381" spans="1:16" ht="13.15" customHeight="1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</row>
    <row r="382" spans="1:16" ht="13.15" customHeight="1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</row>
    <row r="383" spans="1:16" ht="13.15" customHeight="1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</row>
    <row r="384" spans="1:16" ht="13.15" customHeight="1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</row>
    <row r="385" spans="1:16" ht="13.15" customHeight="1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</row>
    <row r="386" spans="1:16" ht="13.15" customHeight="1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</row>
    <row r="387" spans="1:16" ht="13.15" customHeight="1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</row>
    <row r="388" spans="1:16" ht="13.15" customHeight="1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</row>
    <row r="389" spans="1:16" ht="13.15" customHeight="1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</row>
    <row r="390" spans="1:16" ht="13.15" customHeight="1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</row>
    <row r="391" spans="1:16" ht="13.15" customHeight="1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</row>
    <row r="392" spans="1:16" ht="13.15" customHeight="1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</row>
    <row r="393" spans="1:16" ht="13.15" customHeight="1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</row>
    <row r="394" spans="1:16" ht="13.15" customHeight="1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</row>
    <row r="395" spans="1:16" ht="13.15" customHeight="1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</row>
    <row r="396" spans="1:16" ht="13.15" customHeight="1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</row>
    <row r="397" spans="1:16" ht="13.15" customHeight="1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</row>
    <row r="398" spans="1:16" ht="13.15" customHeight="1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</row>
    <row r="399" spans="1:16" ht="13.15" customHeight="1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</row>
    <row r="400" spans="1:16" ht="13.15" customHeight="1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</row>
    <row r="401" spans="1:16" ht="13.15" customHeight="1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</row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Y401"/>
  <sheetViews>
    <sheetView zoomScale="120" zoomScaleNormal="120" workbookViewId="0">
      <selection activeCell="A2" sqref="A2"/>
    </sheetView>
  </sheetViews>
  <sheetFormatPr defaultColWidth="8.81640625" defaultRowHeight="13.15" customHeight="1" x14ac:dyDescent="0.25"/>
  <cols>
    <col min="1" max="1" width="3.26953125" style="4" customWidth="1"/>
    <col min="2" max="2" width="5.453125" style="4" customWidth="1"/>
    <col min="3" max="17" width="9.54296875" style="4" customWidth="1"/>
    <col min="18" max="18" width="10.26953125" style="4" customWidth="1"/>
    <col min="19" max="16384" width="8.81640625" style="4"/>
  </cols>
  <sheetData>
    <row r="1" spans="1:25" ht="13.15" customHeight="1" x14ac:dyDescent="0.35">
      <c r="A1" s="1" t="s">
        <v>22</v>
      </c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</row>
    <row r="2" spans="1:25" ht="13.15" customHeight="1" x14ac:dyDescent="0.25">
      <c r="A2" s="5" t="s">
        <v>23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6"/>
      <c r="N2" s="6"/>
      <c r="O2" s="6"/>
      <c r="P2" s="6"/>
      <c r="Q2" s="6"/>
      <c r="R2" s="6"/>
    </row>
    <row r="3" spans="1:25" ht="13.15" customHeight="1" x14ac:dyDescent="0.3">
      <c r="A3" s="5"/>
      <c r="B3" s="5"/>
      <c r="C3" s="8"/>
      <c r="D3" s="8"/>
      <c r="E3" s="8"/>
      <c r="F3" s="8"/>
      <c r="G3" s="8"/>
      <c r="H3" s="8"/>
      <c r="I3" s="8"/>
      <c r="J3" s="8"/>
      <c r="K3" s="8"/>
      <c r="L3" s="8"/>
      <c r="M3" s="7"/>
      <c r="N3" s="7"/>
      <c r="O3" s="7"/>
      <c r="P3" s="7"/>
      <c r="Q3" s="7"/>
      <c r="R3" s="6"/>
    </row>
    <row r="4" spans="1:25" ht="13.15" customHeight="1" x14ac:dyDescent="0.3">
      <c r="A4" s="7"/>
      <c r="B4" s="8"/>
      <c r="C4" s="8"/>
      <c r="D4" s="8"/>
      <c r="E4" s="16" t="s">
        <v>12</v>
      </c>
      <c r="F4" s="8"/>
      <c r="G4" s="8"/>
      <c r="H4" s="8"/>
      <c r="I4" s="8"/>
      <c r="J4" s="8"/>
      <c r="K4" s="8"/>
      <c r="L4" s="8"/>
      <c r="M4" s="8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 ht="13.15" customHeight="1" x14ac:dyDescent="0.35">
      <c r="A5" s="7"/>
      <c r="B5" s="9"/>
      <c r="C5" s="45" t="s">
        <v>0</v>
      </c>
      <c r="D5" s="45" t="s">
        <v>1</v>
      </c>
      <c r="E5" s="25" t="s">
        <v>11</v>
      </c>
      <c r="F5" s="8"/>
      <c r="G5" s="8"/>
      <c r="H5" s="8"/>
      <c r="I5" s="8"/>
      <c r="J5" s="8"/>
      <c r="K5" s="8"/>
      <c r="L5" s="8"/>
      <c r="M5" s="8"/>
      <c r="N5" s="8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 ht="13.15" customHeight="1" x14ac:dyDescent="0.3">
      <c r="A6" s="7"/>
      <c r="B6" s="45" t="s">
        <v>0</v>
      </c>
      <c r="C6" s="10">
        <v>1</v>
      </c>
      <c r="D6" s="11">
        <v>3</v>
      </c>
      <c r="E6" s="13">
        <f t="array" ref="E6:E9">AHPmat_ColNorm(C6:D7)</f>
        <v>0.75</v>
      </c>
      <c r="F6" s="8"/>
      <c r="G6" s="8"/>
      <c r="H6" s="8"/>
      <c r="I6" s="8"/>
      <c r="J6" s="8"/>
      <c r="K6" s="8"/>
      <c r="L6" s="8"/>
      <c r="M6" s="8"/>
      <c r="N6" s="8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 ht="13.15" customHeight="1" x14ac:dyDescent="0.3">
      <c r="A7" s="7"/>
      <c r="B7" s="45" t="s">
        <v>1</v>
      </c>
      <c r="C7" s="12">
        <f>1/D6</f>
        <v>0.33333333333333331</v>
      </c>
      <c r="D7" s="10">
        <v>1</v>
      </c>
      <c r="E7" s="13">
        <v>0.25</v>
      </c>
      <c r="F7" s="8"/>
      <c r="G7" s="8"/>
      <c r="H7" s="8"/>
      <c r="I7" s="8"/>
      <c r="J7" s="8"/>
      <c r="K7" s="8"/>
      <c r="L7" s="8"/>
      <c r="M7" s="8"/>
      <c r="N7" s="8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 ht="13.15" customHeight="1" x14ac:dyDescent="0.3">
      <c r="A8" s="7"/>
      <c r="B8" s="8"/>
      <c r="C8" s="8"/>
      <c r="D8" s="42" t="s">
        <v>17</v>
      </c>
      <c r="E8" s="29">
        <v>2</v>
      </c>
      <c r="F8" s="8"/>
      <c r="G8" s="8"/>
      <c r="H8" s="8"/>
      <c r="I8" s="8"/>
      <c r="J8" s="7"/>
      <c r="K8" s="7"/>
      <c r="L8" s="8"/>
      <c r="M8" s="8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 ht="13.15" customHeight="1" x14ac:dyDescent="0.3">
      <c r="A9" s="7"/>
      <c r="B9" s="6"/>
      <c r="C9" s="7"/>
      <c r="D9" s="44" t="s">
        <v>4</v>
      </c>
      <c r="E9" s="35">
        <v>0</v>
      </c>
      <c r="F9" s="8"/>
      <c r="G9" s="8"/>
      <c r="H9" s="8"/>
      <c r="I9" s="8"/>
      <c r="J9" s="7"/>
      <c r="K9" s="8"/>
      <c r="L9" s="8"/>
      <c r="M9" s="8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 ht="13.15" customHeight="1" x14ac:dyDescent="0.3">
      <c r="A10" s="7"/>
      <c r="B10" s="8"/>
      <c r="C10" s="8"/>
      <c r="D10" s="7"/>
      <c r="E10" s="36" t="s">
        <v>2</v>
      </c>
      <c r="F10" s="36"/>
      <c r="G10" s="36"/>
      <c r="H10" s="36"/>
      <c r="I10" s="8"/>
      <c r="J10" s="8"/>
      <c r="K10" s="8"/>
      <c r="L10" s="8"/>
      <c r="M10" s="8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 ht="13.15" customHeight="1" x14ac:dyDescent="0.3">
      <c r="A11" s="7"/>
      <c r="B11" s="14"/>
      <c r="C11" s="15"/>
      <c r="D11" s="43"/>
      <c r="E11" s="8"/>
      <c r="F11" s="8"/>
      <c r="G11" s="8"/>
      <c r="H11" s="7"/>
      <c r="I11" s="8"/>
      <c r="J11" s="8"/>
      <c r="K11" s="8"/>
      <c r="L11" s="8"/>
      <c r="M11" s="8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 ht="13.15" customHeight="1" x14ac:dyDescent="0.3">
      <c r="A12" s="7"/>
      <c r="B12" s="14"/>
      <c r="C12" s="15"/>
      <c r="D12" s="43"/>
      <c r="E12" s="8"/>
      <c r="F12" s="8"/>
      <c r="G12" s="8"/>
      <c r="H12" s="7"/>
      <c r="I12" s="8"/>
      <c r="J12" s="8"/>
      <c r="K12" s="8"/>
      <c r="L12" s="8"/>
      <c r="M12" s="8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 ht="13.15" customHeight="1" x14ac:dyDescent="0.3">
      <c r="A13" s="7"/>
      <c r="B13" s="8"/>
      <c r="C13" s="8"/>
      <c r="D13" s="8"/>
      <c r="E13" s="8"/>
      <c r="F13" s="16" t="s">
        <v>14</v>
      </c>
      <c r="G13" s="8"/>
      <c r="H13" s="8"/>
      <c r="I13" s="8"/>
      <c r="J13" s="8"/>
      <c r="K13" s="8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 ht="13.15" customHeight="1" x14ac:dyDescent="0.35">
      <c r="A14" s="7"/>
      <c r="B14" s="46"/>
      <c r="C14" s="45" t="s">
        <v>0</v>
      </c>
      <c r="D14" s="45" t="s">
        <v>1</v>
      </c>
      <c r="E14" s="45" t="s">
        <v>3</v>
      </c>
      <c r="F14" s="25" t="s">
        <v>11</v>
      </c>
      <c r="G14" s="8"/>
      <c r="H14" s="8"/>
      <c r="I14" s="8"/>
      <c r="J14" s="8"/>
      <c r="K14" s="8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5" ht="13.15" customHeight="1" x14ac:dyDescent="0.3">
      <c r="A15" s="7"/>
      <c r="B15" s="45" t="s">
        <v>0</v>
      </c>
      <c r="C15" s="10">
        <v>1</v>
      </c>
      <c r="D15" s="11">
        <v>3</v>
      </c>
      <c r="E15" s="11">
        <v>5</v>
      </c>
      <c r="F15" s="27">
        <f t="array" ref="F15:F19">AHPmat_ColNorm(C15:E17)</f>
        <v>0.63334572030224201</v>
      </c>
      <c r="G15" s="8"/>
      <c r="H15" s="8"/>
      <c r="I15" s="8"/>
      <c r="J15" s="8"/>
      <c r="K15" s="8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5" ht="13.15" customHeight="1" x14ac:dyDescent="0.3">
      <c r="A16" s="7"/>
      <c r="B16" s="45" t="s">
        <v>1</v>
      </c>
      <c r="C16" s="12">
        <f>1/D15</f>
        <v>0.33333333333333331</v>
      </c>
      <c r="D16" s="10">
        <v>1</v>
      </c>
      <c r="E16" s="16">
        <v>3</v>
      </c>
      <c r="F16" s="27">
        <v>0.26049795615013011</v>
      </c>
      <c r="G16" s="8"/>
      <c r="H16" s="8"/>
      <c r="I16" s="8"/>
      <c r="J16" s="8"/>
      <c r="K16" s="8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5" ht="13.15" customHeight="1" x14ac:dyDescent="0.3">
      <c r="A17" s="7"/>
      <c r="B17" s="45" t="s">
        <v>3</v>
      </c>
      <c r="C17" s="12">
        <f>1/E15</f>
        <v>0.2</v>
      </c>
      <c r="D17" s="12">
        <f>1/E16</f>
        <v>0.33333333333333331</v>
      </c>
      <c r="E17" s="10">
        <v>1</v>
      </c>
      <c r="F17" s="27">
        <v>0.1061563235476279</v>
      </c>
      <c r="G17" s="8"/>
      <c r="H17" s="8"/>
      <c r="I17" s="8"/>
      <c r="J17" s="8"/>
      <c r="K17" s="8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5" ht="13.15" customHeight="1" x14ac:dyDescent="0.3">
      <c r="A18" s="7"/>
      <c r="B18" s="6"/>
      <c r="C18" s="7"/>
      <c r="D18" s="7"/>
      <c r="E18" s="42" t="s">
        <v>17</v>
      </c>
      <c r="F18" s="34">
        <v>3.0387146809594667</v>
      </c>
      <c r="G18" s="8"/>
      <c r="H18" s="8"/>
      <c r="I18" s="8"/>
      <c r="J18" s="8"/>
      <c r="K18" s="8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5" ht="13.15" customHeight="1" x14ac:dyDescent="0.3">
      <c r="A19" s="7"/>
      <c r="B19" s="6"/>
      <c r="C19" s="7"/>
      <c r="D19" s="7"/>
      <c r="E19" s="44" t="s">
        <v>4</v>
      </c>
      <c r="F19" s="34">
        <v>3.3374724965057528E-2</v>
      </c>
      <c r="G19" s="8"/>
      <c r="H19" s="8"/>
      <c r="I19" s="8"/>
      <c r="J19" s="8"/>
      <c r="K19" s="8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5" ht="13.15" customHeight="1" x14ac:dyDescent="0.3">
      <c r="A20" s="7"/>
      <c r="B20" s="8"/>
      <c r="C20" s="8"/>
      <c r="D20" s="8"/>
      <c r="E20" s="17"/>
      <c r="F20" s="18"/>
      <c r="G20" s="8"/>
      <c r="H20" s="8"/>
      <c r="I20" s="8"/>
      <c r="J20" s="8"/>
      <c r="K20" s="8"/>
      <c r="L20" s="8"/>
      <c r="M20" s="8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 ht="13.15" customHeight="1" x14ac:dyDescent="0.3">
      <c r="A21" s="7"/>
      <c r="B21" s="8"/>
      <c r="C21" s="8"/>
      <c r="D21" s="8"/>
      <c r="E21" s="17"/>
      <c r="F21" s="18"/>
      <c r="G21" s="8"/>
      <c r="H21" s="8"/>
      <c r="I21" s="8"/>
      <c r="J21" s="8"/>
      <c r="K21" s="8"/>
      <c r="L21" s="8"/>
      <c r="M21" s="8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 ht="13.15" customHeight="1" x14ac:dyDescent="0.3">
      <c r="A22" s="7"/>
      <c r="B22" s="8"/>
      <c r="C22" s="8"/>
      <c r="D22" s="8"/>
      <c r="E22" s="17"/>
      <c r="F22" s="18"/>
      <c r="G22" s="8"/>
      <c r="H22" s="8"/>
      <c r="I22" s="8"/>
      <c r="J22" s="8"/>
      <c r="K22" s="8"/>
      <c r="L22" s="8"/>
      <c r="M22" s="8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 ht="13.15" customHeight="1" x14ac:dyDescent="0.3">
      <c r="A23" s="7"/>
      <c r="B23" s="19"/>
      <c r="C23" s="19"/>
      <c r="D23" s="19"/>
      <c r="E23" s="19"/>
      <c r="F23" s="19"/>
      <c r="G23" s="16" t="s">
        <v>14</v>
      </c>
      <c r="H23" s="8"/>
      <c r="I23" s="8"/>
      <c r="J23" s="8"/>
      <c r="K23" s="7"/>
      <c r="L23" s="8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 ht="13.15" customHeight="1" x14ac:dyDescent="0.35">
      <c r="A24" s="7"/>
      <c r="B24" s="46"/>
      <c r="C24" s="45" t="s">
        <v>0</v>
      </c>
      <c r="D24" s="45" t="s">
        <v>1</v>
      </c>
      <c r="E24" s="45" t="s">
        <v>3</v>
      </c>
      <c r="F24" s="45" t="s">
        <v>5</v>
      </c>
      <c r="G24" s="25" t="s">
        <v>11</v>
      </c>
      <c r="H24" s="8"/>
      <c r="I24" s="8"/>
      <c r="J24" s="8"/>
      <c r="K24" s="8"/>
      <c r="L24" s="8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5" ht="13.15" customHeight="1" x14ac:dyDescent="0.3">
      <c r="A25" s="7"/>
      <c r="B25" s="45" t="s">
        <v>0</v>
      </c>
      <c r="C25" s="10">
        <v>1</v>
      </c>
      <c r="D25" s="16">
        <v>3</v>
      </c>
      <c r="E25" s="16">
        <v>5</v>
      </c>
      <c r="F25" s="16">
        <v>7</v>
      </c>
      <c r="G25" s="27">
        <f t="array" ref="G25:G30">AHPmat_ColNorm(C25:F28)</f>
        <v>0.55789247517188689</v>
      </c>
      <c r="H25" s="8"/>
      <c r="I25" s="8"/>
      <c r="J25" s="8"/>
      <c r="L25" s="8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5" ht="13.15" customHeight="1" x14ac:dyDescent="0.3">
      <c r="A26" s="7"/>
      <c r="B26" s="45" t="s">
        <v>1</v>
      </c>
      <c r="C26" s="12">
        <f>1/D25</f>
        <v>0.33333333333333331</v>
      </c>
      <c r="D26" s="10">
        <v>1</v>
      </c>
      <c r="E26" s="16">
        <v>3</v>
      </c>
      <c r="F26" s="16">
        <v>5</v>
      </c>
      <c r="G26" s="27">
        <v>0.26334511077158135</v>
      </c>
      <c r="H26" s="8"/>
      <c r="I26" s="8"/>
      <c r="J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5" ht="13.15" customHeight="1" x14ac:dyDescent="0.3">
      <c r="A27" s="7"/>
      <c r="B27" s="45" t="s">
        <v>3</v>
      </c>
      <c r="C27" s="12">
        <f>1/E25</f>
        <v>0.2</v>
      </c>
      <c r="D27" s="12">
        <f>1/E26</f>
        <v>0.33333333333333331</v>
      </c>
      <c r="E27" s="10">
        <v>1</v>
      </c>
      <c r="F27" s="16">
        <v>3</v>
      </c>
      <c r="G27" s="27">
        <v>0.12187261268143622</v>
      </c>
      <c r="H27" s="8"/>
      <c r="I27" s="8"/>
      <c r="J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5" ht="13.15" customHeight="1" x14ac:dyDescent="0.3">
      <c r="A28" s="7"/>
      <c r="B28" s="45" t="s">
        <v>5</v>
      </c>
      <c r="C28" s="12">
        <f>1/F25</f>
        <v>0.14285714285714285</v>
      </c>
      <c r="D28" s="12">
        <f>1/F26</f>
        <v>0.2</v>
      </c>
      <c r="E28" s="12">
        <f>1/F27</f>
        <v>0.33333333333333331</v>
      </c>
      <c r="F28" s="10">
        <v>1</v>
      </c>
      <c r="G28" s="27">
        <v>5.68898013750955E-2</v>
      </c>
      <c r="H28" s="8"/>
      <c r="I28" s="8"/>
      <c r="J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5" ht="13.15" customHeight="1" x14ac:dyDescent="0.3">
      <c r="A29" s="7"/>
      <c r="B29" s="7"/>
      <c r="C29" s="7"/>
      <c r="D29" s="7"/>
      <c r="E29" s="7"/>
      <c r="F29" s="42" t="s">
        <v>17</v>
      </c>
      <c r="G29" s="31">
        <v>4.1184656651573661</v>
      </c>
      <c r="H29" s="8"/>
      <c r="I29" s="8"/>
      <c r="J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 ht="13.15" customHeight="1" x14ac:dyDescent="0.3">
      <c r="A30" s="7"/>
      <c r="B30" s="7"/>
      <c r="C30" s="7"/>
      <c r="D30" s="7"/>
      <c r="E30" s="7"/>
      <c r="F30" s="44" t="s">
        <v>4</v>
      </c>
      <c r="G30" s="31">
        <v>4.3876172280505971E-2</v>
      </c>
      <c r="H30" s="8"/>
      <c r="I30" s="8"/>
      <c r="J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 ht="13.15" customHeight="1" x14ac:dyDescent="0.3">
      <c r="A31" s="7"/>
      <c r="B31" s="14"/>
      <c r="C31" s="14"/>
      <c r="D31" s="8"/>
      <c r="E31" s="8"/>
      <c r="F31" s="43"/>
      <c r="G31" s="8"/>
      <c r="H31" s="8"/>
      <c r="I31" s="8"/>
      <c r="J31" s="8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 ht="13.15" customHeight="1" x14ac:dyDescent="0.3">
      <c r="A32" s="7"/>
      <c r="B32" s="14"/>
      <c r="C32" s="14"/>
      <c r="D32" s="8"/>
      <c r="E32" s="8"/>
      <c r="F32" s="43"/>
      <c r="G32" s="8"/>
      <c r="H32" s="8"/>
      <c r="I32" s="8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ht="13.15" customHeight="1" x14ac:dyDescent="0.3">
      <c r="A33" s="7"/>
      <c r="B33" s="14"/>
      <c r="C33" s="14"/>
      <c r="D33" s="14"/>
      <c r="E33" s="8"/>
      <c r="F33" s="8"/>
      <c r="G33" s="8"/>
      <c r="H33" s="8"/>
      <c r="I33" s="8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ht="13.15" customHeight="1" x14ac:dyDescent="0.3">
      <c r="A34" s="7"/>
      <c r="B34" s="7"/>
      <c r="C34" s="7"/>
      <c r="D34" s="7"/>
      <c r="E34" s="7"/>
      <c r="F34" s="7"/>
      <c r="G34" s="7"/>
      <c r="H34" s="16" t="s">
        <v>14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ht="13.15" customHeight="1" x14ac:dyDescent="0.35">
      <c r="A35" s="7"/>
      <c r="B35" s="46"/>
      <c r="C35" s="45" t="s">
        <v>0</v>
      </c>
      <c r="D35" s="45" t="s">
        <v>1</v>
      </c>
      <c r="E35" s="45" t="s">
        <v>3</v>
      </c>
      <c r="F35" s="45" t="s">
        <v>5</v>
      </c>
      <c r="G35" s="45" t="s">
        <v>6</v>
      </c>
      <c r="H35" s="25" t="s">
        <v>11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ht="13.15" customHeight="1" x14ac:dyDescent="0.3">
      <c r="A36" s="7"/>
      <c r="B36" s="45" t="s">
        <v>0</v>
      </c>
      <c r="C36" s="10">
        <v>1</v>
      </c>
      <c r="D36" s="16">
        <v>3</v>
      </c>
      <c r="E36" s="16">
        <v>5</v>
      </c>
      <c r="F36" s="21">
        <v>7</v>
      </c>
      <c r="G36" s="21">
        <v>9</v>
      </c>
      <c r="H36" s="27">
        <f t="array" ref="H36:H42">AHPmat_ColNorm(C36:G40)</f>
        <v>0.50281949577049656</v>
      </c>
      <c r="I36" s="7"/>
      <c r="J36" s="7"/>
      <c r="K36" s="7"/>
      <c r="L36" s="8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ht="13.15" customHeight="1" x14ac:dyDescent="0.3">
      <c r="A37" s="7"/>
      <c r="B37" s="45" t="s">
        <v>1</v>
      </c>
      <c r="C37" s="12">
        <f>1/D36</f>
        <v>0.33333333333333331</v>
      </c>
      <c r="D37" s="10">
        <v>1</v>
      </c>
      <c r="E37" s="16">
        <v>3</v>
      </c>
      <c r="F37" s="21">
        <v>5</v>
      </c>
      <c r="G37" s="21">
        <v>7</v>
      </c>
      <c r="H37" s="27">
        <v>0.26023158778668332</v>
      </c>
      <c r="I37" s="7"/>
      <c r="J37" s="7"/>
      <c r="K37" s="7"/>
      <c r="L37" s="8"/>
      <c r="M37" s="8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ht="13.15" customHeight="1" x14ac:dyDescent="0.3">
      <c r="A38" s="7"/>
      <c r="B38" s="45" t="s">
        <v>3</v>
      </c>
      <c r="C38" s="12">
        <f>1/E36</f>
        <v>0.2</v>
      </c>
      <c r="D38" s="12">
        <f>1/E37</f>
        <v>0.33333333333333331</v>
      </c>
      <c r="E38" s="10">
        <v>1</v>
      </c>
      <c r="F38" s="21">
        <v>3</v>
      </c>
      <c r="G38" s="21">
        <v>5</v>
      </c>
      <c r="H38" s="27">
        <v>0.13435044057311091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ht="13.15" customHeight="1" x14ac:dyDescent="0.3">
      <c r="A39" s="7"/>
      <c r="B39" s="45" t="s">
        <v>5</v>
      </c>
      <c r="C39" s="12">
        <f>1/F36</f>
        <v>0.14285714285714285</v>
      </c>
      <c r="D39" s="12">
        <f>1/F37</f>
        <v>0.2</v>
      </c>
      <c r="E39" s="12">
        <f>1/F38</f>
        <v>0.33333333333333331</v>
      </c>
      <c r="F39" s="10">
        <v>1</v>
      </c>
      <c r="G39" s="21">
        <v>3</v>
      </c>
      <c r="H39" s="27">
        <v>6.777766684747813E-2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ht="13.15" customHeight="1" x14ac:dyDescent="0.3">
      <c r="A40" s="7"/>
      <c r="B40" s="45" t="s">
        <v>6</v>
      </c>
      <c r="C40" s="12">
        <f>1/G36</f>
        <v>0.1111111111111111</v>
      </c>
      <c r="D40" s="12">
        <f>1/G37</f>
        <v>0.14285714285714285</v>
      </c>
      <c r="E40" s="12">
        <f>1/G38</f>
        <v>0.2</v>
      </c>
      <c r="F40" s="12">
        <f>1/G39</f>
        <v>0.33333333333333331</v>
      </c>
      <c r="G40" s="10">
        <v>1</v>
      </c>
      <c r="H40" s="27">
        <v>3.4820809022231121E-2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 ht="13.15" customHeight="1" x14ac:dyDescent="0.3">
      <c r="A41" s="7"/>
      <c r="B41" s="14"/>
      <c r="C41" s="14"/>
      <c r="D41" s="7"/>
      <c r="E41" s="7"/>
      <c r="F41" s="7"/>
      <c r="G41" s="42" t="s">
        <v>17</v>
      </c>
      <c r="H41" s="34">
        <v>5.2426069175311598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 ht="13.15" customHeight="1" x14ac:dyDescent="0.3">
      <c r="A42" s="7"/>
      <c r="B42" s="14"/>
      <c r="C42" s="14"/>
      <c r="D42" s="7"/>
      <c r="E42" s="7"/>
      <c r="F42" s="7"/>
      <c r="G42" s="44" t="s">
        <v>4</v>
      </c>
      <c r="H42" s="34">
        <v>5.4153329806062453E-2</v>
      </c>
      <c r="I42" s="7"/>
      <c r="J42" s="7"/>
      <c r="K42" s="7"/>
      <c r="L42" s="20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 ht="13.15" customHeight="1" x14ac:dyDescent="0.3">
      <c r="A43" s="7"/>
      <c r="B43" s="14"/>
      <c r="C43" s="14"/>
      <c r="D43" s="14"/>
      <c r="E43" s="15"/>
      <c r="F43" s="7"/>
      <c r="G43" s="43"/>
      <c r="H43" s="24"/>
      <c r="I43" s="8"/>
      <c r="J43" s="7"/>
      <c r="K43" s="24"/>
      <c r="L43" s="20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 ht="13.15" customHeight="1" x14ac:dyDescent="0.3">
      <c r="A44" s="7"/>
      <c r="B44" s="14"/>
      <c r="C44" s="14"/>
      <c r="D44" s="14"/>
      <c r="E44" s="15"/>
      <c r="F44" s="7"/>
      <c r="G44" s="43"/>
      <c r="H44" s="24"/>
      <c r="I44" s="8"/>
      <c r="J44" s="7"/>
      <c r="K44" s="24"/>
      <c r="L44" s="20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 ht="13.15" customHeight="1" x14ac:dyDescent="0.3">
      <c r="A45" s="7"/>
      <c r="B45" s="14"/>
      <c r="C45" s="14"/>
      <c r="D45" s="14"/>
      <c r="E45" s="15"/>
      <c r="F45" s="17"/>
      <c r="G45" s="18"/>
      <c r="H45" s="7"/>
      <c r="I45" s="7"/>
      <c r="J45" s="7"/>
      <c r="K45" s="7"/>
      <c r="L45" s="7"/>
      <c r="M45" s="20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 ht="13.15" customHeight="1" x14ac:dyDescent="0.3">
      <c r="A46" s="7"/>
      <c r="B46" s="7"/>
      <c r="C46" s="7"/>
      <c r="D46" s="7"/>
      <c r="E46" s="7"/>
      <c r="F46" s="7"/>
      <c r="G46" s="7"/>
      <c r="H46" s="7"/>
      <c r="I46" s="16" t="s">
        <v>14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 ht="13.15" customHeight="1" x14ac:dyDescent="0.35">
      <c r="A47" s="7"/>
      <c r="B47" s="46"/>
      <c r="C47" s="45" t="s">
        <v>0</v>
      </c>
      <c r="D47" s="45" t="s">
        <v>1</v>
      </c>
      <c r="E47" s="45" t="s">
        <v>3</v>
      </c>
      <c r="F47" s="45" t="s">
        <v>5</v>
      </c>
      <c r="G47" s="45" t="s">
        <v>6</v>
      </c>
      <c r="H47" s="45" t="s">
        <v>7</v>
      </c>
      <c r="I47" s="25" t="s">
        <v>11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 ht="13.15" customHeight="1" x14ac:dyDescent="0.3">
      <c r="A48" s="7"/>
      <c r="B48" s="45" t="s">
        <v>0</v>
      </c>
      <c r="C48" s="10">
        <v>1</v>
      </c>
      <c r="D48" s="16">
        <v>3</v>
      </c>
      <c r="E48" s="16">
        <v>5</v>
      </c>
      <c r="F48" s="21">
        <v>6</v>
      </c>
      <c r="G48" s="21">
        <v>7</v>
      </c>
      <c r="H48" s="21">
        <v>9</v>
      </c>
      <c r="I48" s="27">
        <f t="array" ref="I48:I55">AHPmat_ColNorm(C48:H53)</f>
        <v>0.4353916200928209</v>
      </c>
      <c r="J48" s="7"/>
      <c r="K48" s="7"/>
      <c r="L48" s="7"/>
      <c r="M48" s="8"/>
      <c r="N48" s="8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 ht="13.15" customHeight="1" x14ac:dyDescent="0.3">
      <c r="A49" s="7"/>
      <c r="B49" s="45" t="s">
        <v>1</v>
      </c>
      <c r="C49" s="12">
        <f>1/D48</f>
        <v>0.33333333333333331</v>
      </c>
      <c r="D49" s="10">
        <v>1</v>
      </c>
      <c r="E49" s="16">
        <v>3</v>
      </c>
      <c r="F49" s="21">
        <v>5</v>
      </c>
      <c r="G49" s="21">
        <v>7</v>
      </c>
      <c r="H49" s="21">
        <v>8</v>
      </c>
      <c r="I49" s="27">
        <v>0.25887111908360755</v>
      </c>
      <c r="J49" s="7"/>
      <c r="K49" s="7"/>
      <c r="L49" s="7"/>
      <c r="M49" s="8"/>
      <c r="N49" s="8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 ht="13.15" customHeight="1" x14ac:dyDescent="0.3">
      <c r="A50" s="7"/>
      <c r="B50" s="45" t="s">
        <v>3</v>
      </c>
      <c r="C50" s="12">
        <f>1/E48</f>
        <v>0.2</v>
      </c>
      <c r="D50" s="12">
        <f>1/E49</f>
        <v>0.33333333333333331</v>
      </c>
      <c r="E50" s="10">
        <v>1</v>
      </c>
      <c r="F50" s="21">
        <v>3</v>
      </c>
      <c r="G50" s="21">
        <v>5</v>
      </c>
      <c r="H50" s="21">
        <v>7</v>
      </c>
      <c r="I50" s="27">
        <v>0.14911157733110247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 ht="13.15" customHeight="1" x14ac:dyDescent="0.3">
      <c r="A51" s="7"/>
      <c r="B51" s="45" t="s">
        <v>5</v>
      </c>
      <c r="C51" s="12">
        <f>1/F48</f>
        <v>0.16666666666666666</v>
      </c>
      <c r="D51" s="12">
        <f>1/F49</f>
        <v>0.2</v>
      </c>
      <c r="E51" s="12">
        <f>1/F50</f>
        <v>0.33333333333333331</v>
      </c>
      <c r="F51" s="10">
        <v>1</v>
      </c>
      <c r="G51" s="21">
        <v>3</v>
      </c>
      <c r="H51" s="21">
        <v>5</v>
      </c>
      <c r="I51" s="27">
        <v>8.4310987254487268E-2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 ht="13.15" customHeight="1" x14ac:dyDescent="0.3">
      <c r="A52" s="7"/>
      <c r="B52" s="45" t="s">
        <v>6</v>
      </c>
      <c r="C52" s="22">
        <f>1/G48</f>
        <v>0.14285714285714285</v>
      </c>
      <c r="D52" s="22">
        <f>1/G49</f>
        <v>0.14285714285714285</v>
      </c>
      <c r="E52" s="22">
        <f>1/G50</f>
        <v>0.2</v>
      </c>
      <c r="F52" s="22">
        <f>1/G51</f>
        <v>0.33333333333333331</v>
      </c>
      <c r="G52" s="23">
        <v>1</v>
      </c>
      <c r="H52" s="21">
        <v>3</v>
      </c>
      <c r="I52" s="27">
        <v>4.6460094895469282E-2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 ht="13.15" customHeight="1" x14ac:dyDescent="0.3">
      <c r="A53" s="7"/>
      <c r="B53" s="45" t="s">
        <v>7</v>
      </c>
      <c r="C53" s="12">
        <f>1/H48</f>
        <v>0.1111111111111111</v>
      </c>
      <c r="D53" s="12">
        <f>1/H49</f>
        <v>0.125</v>
      </c>
      <c r="E53" s="12">
        <f>1/H50</f>
        <v>0.14285714285714285</v>
      </c>
      <c r="F53" s="12">
        <f>1/H51</f>
        <v>0.2</v>
      </c>
      <c r="G53" s="12">
        <f>1/H52</f>
        <v>0.33333333333333331</v>
      </c>
      <c r="H53" s="10">
        <v>1</v>
      </c>
      <c r="I53" s="27">
        <v>2.5854601342512547E-2</v>
      </c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 ht="13.15" customHeight="1" x14ac:dyDescent="0.3">
      <c r="A54" s="7"/>
      <c r="B54" s="14"/>
      <c r="C54" s="14"/>
      <c r="D54" s="7"/>
      <c r="E54" s="7"/>
      <c r="F54" s="7"/>
      <c r="G54" s="7"/>
      <c r="H54" s="42" t="s">
        <v>17</v>
      </c>
      <c r="I54" s="34">
        <v>6.5069766243727374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 ht="13.15" customHeight="1" x14ac:dyDescent="0.3">
      <c r="A55" s="7"/>
      <c r="B55" s="14"/>
      <c r="C55" s="14"/>
      <c r="D55" s="7"/>
      <c r="E55" s="7"/>
      <c r="F55" s="7"/>
      <c r="G55" s="7"/>
      <c r="H55" s="44" t="s">
        <v>4</v>
      </c>
      <c r="I55" s="34">
        <v>8.1770423285925375E-2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 ht="13.15" customHeight="1" x14ac:dyDescent="0.3">
      <c r="A56" s="7"/>
      <c r="B56" s="14"/>
      <c r="C56" s="14"/>
      <c r="D56" s="7"/>
      <c r="E56" s="7"/>
      <c r="F56" s="7"/>
      <c r="G56" s="7"/>
      <c r="H56" s="43"/>
      <c r="I56" s="24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 ht="13.15" customHeight="1" x14ac:dyDescent="0.3">
      <c r="A57" s="7"/>
      <c r="B57" s="14"/>
      <c r="C57" s="14"/>
      <c r="D57" s="7"/>
      <c r="E57" s="7"/>
      <c r="F57" s="7"/>
      <c r="G57" s="7"/>
      <c r="H57" s="43"/>
      <c r="I57" s="24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 ht="13.15" customHeight="1" x14ac:dyDescent="0.3">
      <c r="A58" s="7"/>
      <c r="B58" s="14"/>
      <c r="C58" s="14"/>
      <c r="D58" s="14"/>
      <c r="E58" s="15"/>
      <c r="F58" s="17"/>
      <c r="G58" s="17"/>
      <c r="H58" s="18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 ht="13.15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16" t="s">
        <v>14</v>
      </c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 ht="13.15" customHeight="1" x14ac:dyDescent="0.35">
      <c r="A60" s="7"/>
      <c r="B60" s="46"/>
      <c r="C60" s="45" t="s">
        <v>0</v>
      </c>
      <c r="D60" s="45" t="s">
        <v>1</v>
      </c>
      <c r="E60" s="45" t="s">
        <v>3</v>
      </c>
      <c r="F60" s="45" t="s">
        <v>5</v>
      </c>
      <c r="G60" s="45" t="s">
        <v>6</v>
      </c>
      <c r="H60" s="45" t="s">
        <v>7</v>
      </c>
      <c r="I60" s="45" t="s">
        <v>8</v>
      </c>
      <c r="J60" s="25" t="s">
        <v>11</v>
      </c>
      <c r="K60" s="7"/>
      <c r="L60" s="7"/>
      <c r="M60" s="7"/>
      <c r="N60" s="7"/>
      <c r="O60" s="8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 ht="13.15" customHeight="1" x14ac:dyDescent="0.3">
      <c r="A61" s="7"/>
      <c r="B61" s="45" t="s">
        <v>0</v>
      </c>
      <c r="C61" s="10">
        <v>1</v>
      </c>
      <c r="D61" s="16">
        <v>3</v>
      </c>
      <c r="E61" s="16">
        <v>4</v>
      </c>
      <c r="F61" s="21">
        <v>6</v>
      </c>
      <c r="G61" s="21">
        <v>7</v>
      </c>
      <c r="H61" s="21">
        <v>8</v>
      </c>
      <c r="I61" s="21">
        <v>9</v>
      </c>
      <c r="J61" s="27">
        <f t="array" ref="J61:J69">AHPmat_ColNorm(C61:I67)</f>
        <v>0.39304733942579667</v>
      </c>
      <c r="K61" s="7"/>
      <c r="L61" s="7"/>
      <c r="M61" s="7"/>
      <c r="N61" s="8"/>
      <c r="O61" s="8"/>
      <c r="P61" s="7"/>
      <c r="Q61" s="7"/>
      <c r="R61" s="6"/>
      <c r="S61" s="7"/>
      <c r="T61" s="7"/>
      <c r="U61" s="7"/>
      <c r="V61" s="7"/>
      <c r="W61" s="7"/>
      <c r="X61" s="7"/>
      <c r="Y61" s="7"/>
    </row>
    <row r="62" spans="1:25" ht="13.15" customHeight="1" x14ac:dyDescent="0.3">
      <c r="A62" s="7"/>
      <c r="B62" s="45" t="s">
        <v>1</v>
      </c>
      <c r="C62" s="12">
        <f>1/D61</f>
        <v>0.33333333333333331</v>
      </c>
      <c r="D62" s="10">
        <v>1</v>
      </c>
      <c r="E62" s="16">
        <v>2</v>
      </c>
      <c r="F62" s="21">
        <v>5</v>
      </c>
      <c r="G62" s="21">
        <v>6</v>
      </c>
      <c r="H62" s="21">
        <v>7</v>
      </c>
      <c r="I62" s="21">
        <v>8</v>
      </c>
      <c r="J62" s="27">
        <v>0.2324257802262952</v>
      </c>
      <c r="K62" s="7"/>
      <c r="L62" s="7"/>
      <c r="M62" s="7"/>
      <c r="N62" s="8"/>
      <c r="O62" s="8"/>
      <c r="P62" s="7"/>
      <c r="Q62" s="7"/>
      <c r="R62" s="6"/>
      <c r="S62" s="7"/>
      <c r="T62" s="7"/>
      <c r="U62" s="7"/>
      <c r="V62" s="7"/>
      <c r="W62" s="7"/>
      <c r="X62" s="7"/>
      <c r="Y62" s="7"/>
    </row>
    <row r="63" spans="1:25" ht="13.15" customHeight="1" x14ac:dyDescent="0.3">
      <c r="A63" s="7"/>
      <c r="B63" s="45" t="s">
        <v>3</v>
      </c>
      <c r="C63" s="12">
        <f>1/E61</f>
        <v>0.25</v>
      </c>
      <c r="D63" s="12">
        <f>1/E62</f>
        <v>0.5</v>
      </c>
      <c r="E63" s="10">
        <v>1</v>
      </c>
      <c r="F63" s="21">
        <v>3</v>
      </c>
      <c r="G63" s="21">
        <v>5</v>
      </c>
      <c r="H63" s="21">
        <v>6</v>
      </c>
      <c r="I63" s="21">
        <v>7</v>
      </c>
      <c r="J63" s="27">
        <v>0.16179685874386962</v>
      </c>
      <c r="K63" s="7"/>
      <c r="L63" s="7"/>
      <c r="M63" s="7"/>
      <c r="N63" s="7"/>
      <c r="O63" s="7"/>
      <c r="P63" s="7"/>
      <c r="Q63" s="7"/>
      <c r="R63" s="6"/>
      <c r="S63" s="7"/>
      <c r="T63" s="7"/>
      <c r="U63" s="7"/>
      <c r="V63" s="7"/>
      <c r="W63" s="7"/>
      <c r="X63" s="7"/>
      <c r="Y63" s="7"/>
    </row>
    <row r="64" spans="1:25" ht="13.15" customHeight="1" x14ac:dyDescent="0.3">
      <c r="A64" s="7"/>
      <c r="B64" s="45" t="s">
        <v>5</v>
      </c>
      <c r="C64" s="12">
        <f>1/F61</f>
        <v>0.16666666666666666</v>
      </c>
      <c r="D64" s="12">
        <f>1/F62</f>
        <v>0.2</v>
      </c>
      <c r="E64" s="12">
        <f>1/F63</f>
        <v>0.33333333333333331</v>
      </c>
      <c r="F64" s="10">
        <v>1</v>
      </c>
      <c r="G64" s="21">
        <v>3</v>
      </c>
      <c r="H64" s="21">
        <v>5</v>
      </c>
      <c r="I64" s="21">
        <v>6</v>
      </c>
      <c r="J64" s="27">
        <v>9.6464340868740325E-2</v>
      </c>
      <c r="K64" s="7"/>
      <c r="L64" s="7"/>
      <c r="M64" s="7"/>
      <c r="N64" s="7"/>
      <c r="O64" s="7"/>
      <c r="P64" s="7"/>
      <c r="Q64" s="7"/>
      <c r="R64" s="6"/>
      <c r="S64" s="7"/>
      <c r="T64" s="7"/>
      <c r="U64" s="7"/>
      <c r="V64" s="7"/>
      <c r="W64" s="7"/>
      <c r="X64" s="7"/>
      <c r="Y64" s="7"/>
    </row>
    <row r="65" spans="1:25" ht="13.15" customHeight="1" x14ac:dyDescent="0.3">
      <c r="A65" s="7"/>
      <c r="B65" s="45" t="s">
        <v>6</v>
      </c>
      <c r="C65" s="22">
        <f>1/G61</f>
        <v>0.14285714285714285</v>
      </c>
      <c r="D65" s="22">
        <f>1/G62</f>
        <v>0.16666666666666666</v>
      </c>
      <c r="E65" s="22">
        <f>1/G63</f>
        <v>0.2</v>
      </c>
      <c r="F65" s="22">
        <f>1/G64</f>
        <v>0.33333333333333331</v>
      </c>
      <c r="G65" s="23">
        <v>1</v>
      </c>
      <c r="H65" s="21">
        <v>3</v>
      </c>
      <c r="I65" s="21">
        <v>5</v>
      </c>
      <c r="J65" s="27">
        <v>5.9682692509043796E-2</v>
      </c>
      <c r="K65" s="7"/>
      <c r="L65" s="7"/>
      <c r="M65" s="7"/>
      <c r="N65" s="7"/>
      <c r="O65" s="7"/>
      <c r="P65" s="7"/>
      <c r="Q65" s="7"/>
      <c r="R65" s="6"/>
      <c r="S65" s="7"/>
      <c r="T65" s="7"/>
      <c r="U65" s="7"/>
      <c r="V65" s="7"/>
      <c r="W65" s="7"/>
      <c r="X65" s="7"/>
      <c r="Y65" s="7"/>
    </row>
    <row r="66" spans="1:25" ht="13.15" customHeight="1" x14ac:dyDescent="0.3">
      <c r="A66" s="7"/>
      <c r="B66" s="45" t="s">
        <v>7</v>
      </c>
      <c r="C66" s="12">
        <f>1/H61</f>
        <v>0.125</v>
      </c>
      <c r="D66" s="12">
        <f>1/H62</f>
        <v>0.14285714285714285</v>
      </c>
      <c r="E66" s="12">
        <f>1/H63</f>
        <v>0.16666666666666666</v>
      </c>
      <c r="F66" s="12">
        <f>1/H64</f>
        <v>0.2</v>
      </c>
      <c r="G66" s="12">
        <f>1/H65</f>
        <v>0.33333333333333331</v>
      </c>
      <c r="H66" s="10">
        <v>1</v>
      </c>
      <c r="I66" s="16">
        <v>3</v>
      </c>
      <c r="J66" s="27">
        <v>3.5029909882128625E-2</v>
      </c>
      <c r="K66" s="7"/>
      <c r="L66" s="7"/>
      <c r="M66" s="7"/>
      <c r="N66" s="7"/>
      <c r="O66" s="7"/>
      <c r="P66" s="7"/>
      <c r="Q66" s="7"/>
      <c r="R66" s="6"/>
      <c r="S66" s="7"/>
      <c r="T66" s="7"/>
      <c r="U66" s="7"/>
      <c r="V66" s="7"/>
      <c r="W66" s="7"/>
      <c r="X66" s="7"/>
      <c r="Y66" s="7"/>
    </row>
    <row r="67" spans="1:25" ht="13.15" customHeight="1" x14ac:dyDescent="0.3">
      <c r="A67" s="7"/>
      <c r="B67" s="45" t="s">
        <v>8</v>
      </c>
      <c r="C67" s="12">
        <f>1/I61</f>
        <v>0.1111111111111111</v>
      </c>
      <c r="D67" s="12">
        <f>1/I62</f>
        <v>0.125</v>
      </c>
      <c r="E67" s="12">
        <f>1/I63</f>
        <v>0.14285714285714285</v>
      </c>
      <c r="F67" s="12">
        <f>1/I64</f>
        <v>0.16666666666666666</v>
      </c>
      <c r="G67" s="12">
        <f>1/I65</f>
        <v>0.2</v>
      </c>
      <c r="H67" s="12">
        <f>1/I66</f>
        <v>0.33333333333333331</v>
      </c>
      <c r="I67" s="10">
        <v>1</v>
      </c>
      <c r="J67" s="27">
        <v>2.1553078344125731E-2</v>
      </c>
      <c r="K67" s="7"/>
      <c r="L67" s="7"/>
      <c r="M67" s="7"/>
      <c r="N67" s="7"/>
      <c r="O67" s="7"/>
      <c r="P67" s="7"/>
      <c r="Q67" s="7"/>
      <c r="R67" s="6"/>
      <c r="S67" s="7"/>
      <c r="T67" s="7"/>
      <c r="U67" s="7"/>
      <c r="V67" s="7"/>
      <c r="W67" s="7"/>
      <c r="X67" s="7"/>
      <c r="Y67" s="7"/>
    </row>
    <row r="68" spans="1:25" ht="13.15" customHeight="1" x14ac:dyDescent="0.3">
      <c r="A68" s="7"/>
      <c r="B68" s="14"/>
      <c r="C68" s="14"/>
      <c r="D68" s="14"/>
      <c r="E68" s="7"/>
      <c r="F68" s="7"/>
      <c r="G68" s="7"/>
      <c r="H68" s="7"/>
      <c r="I68" s="42" t="s">
        <v>17</v>
      </c>
      <c r="J68" s="34">
        <v>7.7234194174928206</v>
      </c>
      <c r="K68" s="7"/>
      <c r="L68" s="7"/>
      <c r="M68" s="7"/>
      <c r="N68" s="7"/>
      <c r="O68" s="7"/>
      <c r="P68" s="7"/>
      <c r="Q68" s="7"/>
      <c r="R68" s="6"/>
      <c r="S68" s="7"/>
      <c r="T68" s="7"/>
      <c r="U68" s="7"/>
      <c r="V68" s="7"/>
      <c r="W68" s="7"/>
      <c r="X68" s="7"/>
      <c r="Y68" s="7"/>
    </row>
    <row r="69" spans="1:25" ht="13.15" customHeight="1" x14ac:dyDescent="0.3">
      <c r="A69" s="7"/>
      <c r="B69" s="14"/>
      <c r="C69" s="14"/>
      <c r="D69" s="14"/>
      <c r="E69" s="7"/>
      <c r="F69" s="7"/>
      <c r="G69" s="7"/>
      <c r="H69" s="7"/>
      <c r="I69" s="44" t="s">
        <v>4</v>
      </c>
      <c r="J69" s="34">
        <v>9.1340835542022797E-2</v>
      </c>
      <c r="K69" s="7"/>
      <c r="L69" s="7"/>
      <c r="M69" s="7"/>
      <c r="N69" s="7"/>
      <c r="O69" s="7"/>
      <c r="P69" s="7"/>
      <c r="Q69" s="7"/>
      <c r="R69" s="6"/>
      <c r="S69" s="7"/>
      <c r="T69" s="7"/>
      <c r="U69" s="7"/>
      <c r="V69" s="7"/>
      <c r="W69" s="7"/>
      <c r="X69" s="7"/>
      <c r="Y69" s="7"/>
    </row>
    <row r="70" spans="1:25" ht="13.15" customHeight="1" x14ac:dyDescent="0.3">
      <c r="A70" s="7"/>
      <c r="B70" s="14"/>
      <c r="C70" s="14"/>
      <c r="D70" s="14"/>
      <c r="E70" s="15"/>
      <c r="F70" s="17"/>
      <c r="G70" s="17"/>
      <c r="H70" s="17"/>
      <c r="I70" s="18"/>
      <c r="J70" s="7"/>
      <c r="K70" s="8"/>
      <c r="L70" s="8"/>
      <c r="M70" s="8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</row>
    <row r="71" spans="1:25" ht="13.15" customHeight="1" x14ac:dyDescent="0.3">
      <c r="A71" s="7"/>
      <c r="B71" s="14"/>
      <c r="C71" s="14"/>
      <c r="D71" s="14"/>
      <c r="E71" s="15"/>
      <c r="F71" s="17"/>
      <c r="G71" s="17"/>
      <c r="H71" s="17"/>
      <c r="I71" s="18"/>
      <c r="J71" s="7"/>
      <c r="K71" s="8"/>
      <c r="L71" s="8"/>
      <c r="M71" s="8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</row>
    <row r="72" spans="1:25" ht="13.15" customHeight="1" x14ac:dyDescent="0.3">
      <c r="A72" s="7"/>
      <c r="B72" s="14"/>
      <c r="C72" s="14"/>
      <c r="D72" s="14"/>
      <c r="E72" s="15"/>
      <c r="F72" s="17"/>
      <c r="G72" s="17"/>
      <c r="H72" s="17"/>
      <c r="I72" s="18"/>
      <c r="J72" s="7"/>
      <c r="K72" s="8"/>
      <c r="L72" s="8"/>
      <c r="M72" s="8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</row>
    <row r="73" spans="1:25" ht="13.15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16" t="s">
        <v>14</v>
      </c>
      <c r="L73" s="8"/>
      <c r="M73" s="8"/>
      <c r="N73" s="8"/>
      <c r="O73" s="8"/>
      <c r="P73" s="7"/>
      <c r="Q73" s="7"/>
      <c r="R73" s="7"/>
      <c r="S73" s="7"/>
      <c r="T73" s="7"/>
      <c r="U73" s="7"/>
      <c r="V73" s="7"/>
      <c r="W73" s="7"/>
      <c r="X73" s="7"/>
      <c r="Y73" s="7"/>
    </row>
    <row r="74" spans="1:25" ht="13.15" customHeight="1" x14ac:dyDescent="0.35">
      <c r="A74" s="7"/>
      <c r="B74" s="46"/>
      <c r="C74" s="45" t="s">
        <v>0</v>
      </c>
      <c r="D74" s="45" t="s">
        <v>1</v>
      </c>
      <c r="E74" s="45" t="s">
        <v>3</v>
      </c>
      <c r="F74" s="45" t="s">
        <v>5</v>
      </c>
      <c r="G74" s="45" t="s">
        <v>6</v>
      </c>
      <c r="H74" s="45" t="s">
        <v>7</v>
      </c>
      <c r="I74" s="45" t="s">
        <v>8</v>
      </c>
      <c r="J74" s="45" t="s">
        <v>9</v>
      </c>
      <c r="K74" s="25" t="s">
        <v>11</v>
      </c>
      <c r="L74" s="8"/>
      <c r="M74" s="8"/>
      <c r="N74" s="8"/>
      <c r="O74" s="8"/>
      <c r="P74" s="7"/>
      <c r="Q74" s="7"/>
      <c r="R74" s="6"/>
      <c r="T74" s="7"/>
      <c r="U74" s="7"/>
      <c r="V74" s="7"/>
      <c r="W74" s="7"/>
      <c r="X74" s="7"/>
      <c r="Y74" s="7"/>
    </row>
    <row r="75" spans="1:25" ht="13.15" customHeight="1" x14ac:dyDescent="0.3">
      <c r="A75" s="7"/>
      <c r="B75" s="45" t="s">
        <v>0</v>
      </c>
      <c r="C75" s="10">
        <v>1</v>
      </c>
      <c r="D75" s="16">
        <v>3</v>
      </c>
      <c r="E75" s="16">
        <v>4</v>
      </c>
      <c r="F75" s="21">
        <v>5</v>
      </c>
      <c r="G75" s="21">
        <v>6</v>
      </c>
      <c r="H75" s="21">
        <v>7</v>
      </c>
      <c r="I75" s="21">
        <v>8</v>
      </c>
      <c r="J75" s="21">
        <v>9</v>
      </c>
      <c r="K75" s="27">
        <f t="array" ref="K75:K84">AHPmat_ColNorm(C75:J82)</f>
        <v>0.35841495041307975</v>
      </c>
      <c r="L75" s="8"/>
      <c r="M75" s="8"/>
      <c r="N75" s="8"/>
      <c r="O75" s="8"/>
      <c r="P75" s="8"/>
      <c r="Q75" s="7"/>
      <c r="R75" s="6"/>
      <c r="T75" s="7"/>
      <c r="U75" s="7"/>
      <c r="V75" s="7"/>
      <c r="W75" s="7"/>
      <c r="X75" s="7"/>
      <c r="Y75" s="7"/>
    </row>
    <row r="76" spans="1:25" ht="13.15" customHeight="1" x14ac:dyDescent="0.3">
      <c r="A76" s="7"/>
      <c r="B76" s="45" t="s">
        <v>1</v>
      </c>
      <c r="C76" s="12">
        <f>1/D75</f>
        <v>0.33333333333333331</v>
      </c>
      <c r="D76" s="10">
        <v>1</v>
      </c>
      <c r="E76" s="16">
        <v>2</v>
      </c>
      <c r="F76" s="21">
        <v>3</v>
      </c>
      <c r="G76" s="21">
        <v>5</v>
      </c>
      <c r="H76" s="21">
        <v>6</v>
      </c>
      <c r="I76" s="21">
        <v>7</v>
      </c>
      <c r="J76" s="21">
        <v>8</v>
      </c>
      <c r="K76" s="27">
        <v>0.2091471209084767</v>
      </c>
      <c r="L76" s="8"/>
      <c r="M76" s="8"/>
      <c r="N76" s="8"/>
      <c r="O76" s="8"/>
      <c r="P76" s="8"/>
      <c r="Q76" s="7"/>
      <c r="R76" s="6"/>
      <c r="T76" s="7"/>
      <c r="U76" s="7"/>
      <c r="V76" s="7"/>
      <c r="W76" s="7"/>
      <c r="X76" s="7"/>
      <c r="Y76" s="7"/>
    </row>
    <row r="77" spans="1:25" ht="13.15" customHeight="1" x14ac:dyDescent="0.3">
      <c r="A77" s="7"/>
      <c r="B77" s="45" t="s">
        <v>3</v>
      </c>
      <c r="C77" s="12">
        <f>1/E75</f>
        <v>0.25</v>
      </c>
      <c r="D77" s="12">
        <f>1/E76</f>
        <v>0.5</v>
      </c>
      <c r="E77" s="10">
        <v>1</v>
      </c>
      <c r="F77" s="21">
        <v>3</v>
      </c>
      <c r="G77" s="21">
        <v>4</v>
      </c>
      <c r="H77" s="21">
        <v>5</v>
      </c>
      <c r="I77" s="21">
        <v>6</v>
      </c>
      <c r="J77" s="21">
        <v>7</v>
      </c>
      <c r="K77" s="27">
        <v>0.16022991336044709</v>
      </c>
      <c r="L77" s="8"/>
      <c r="M77" s="8"/>
      <c r="N77" s="8"/>
      <c r="O77" s="8"/>
      <c r="P77" s="8"/>
      <c r="Q77" s="7"/>
      <c r="R77" s="6"/>
      <c r="T77" s="7"/>
      <c r="U77" s="7"/>
      <c r="V77" s="7"/>
      <c r="W77" s="7"/>
      <c r="X77" s="7"/>
      <c r="Y77" s="7"/>
    </row>
    <row r="78" spans="1:25" ht="13.15" customHeight="1" x14ac:dyDescent="0.3">
      <c r="A78" s="7"/>
      <c r="B78" s="45" t="s">
        <v>5</v>
      </c>
      <c r="C78" s="12">
        <f>1/F75</f>
        <v>0.2</v>
      </c>
      <c r="D78" s="12">
        <f>1/F76</f>
        <v>0.33333333333333331</v>
      </c>
      <c r="E78" s="12">
        <f>1/F77</f>
        <v>0.33333333333333331</v>
      </c>
      <c r="F78" s="10">
        <v>1</v>
      </c>
      <c r="G78" s="21">
        <v>3</v>
      </c>
      <c r="H78" s="21">
        <v>4</v>
      </c>
      <c r="I78" s="21">
        <v>5</v>
      </c>
      <c r="J78" s="21">
        <v>6</v>
      </c>
      <c r="K78" s="27">
        <v>0.10656561253430225</v>
      </c>
      <c r="L78" s="8"/>
      <c r="M78" s="8"/>
      <c r="N78" s="8"/>
      <c r="O78" s="8"/>
      <c r="P78" s="7"/>
      <c r="Q78" s="7"/>
      <c r="R78" s="6"/>
      <c r="T78" s="7"/>
      <c r="U78" s="7"/>
      <c r="V78" s="7"/>
      <c r="W78" s="7"/>
      <c r="X78" s="7"/>
      <c r="Y78" s="7"/>
    </row>
    <row r="79" spans="1:25" ht="13.15" customHeight="1" x14ac:dyDescent="0.3">
      <c r="A79" s="7"/>
      <c r="B79" s="45" t="s">
        <v>6</v>
      </c>
      <c r="C79" s="22">
        <f>1/G75</f>
        <v>0.16666666666666666</v>
      </c>
      <c r="D79" s="22">
        <f>1/G76</f>
        <v>0.2</v>
      </c>
      <c r="E79" s="22">
        <f>1/G77</f>
        <v>0.25</v>
      </c>
      <c r="F79" s="22">
        <f>1/G78</f>
        <v>0.33333333333333331</v>
      </c>
      <c r="G79" s="23">
        <v>1</v>
      </c>
      <c r="H79" s="21">
        <v>3</v>
      </c>
      <c r="I79" s="21">
        <v>4</v>
      </c>
      <c r="J79" s="21">
        <v>5</v>
      </c>
      <c r="K79" s="27">
        <v>7.0119437405838966E-2</v>
      </c>
      <c r="L79" s="8"/>
      <c r="M79" s="8"/>
      <c r="N79" s="8"/>
      <c r="O79" s="8"/>
      <c r="P79" s="7"/>
      <c r="Q79" s="7"/>
      <c r="R79" s="6"/>
      <c r="T79" s="7"/>
      <c r="U79" s="7"/>
      <c r="V79" s="7"/>
      <c r="W79" s="7"/>
      <c r="X79" s="7"/>
      <c r="Y79" s="7"/>
    </row>
    <row r="80" spans="1:25" ht="13.15" customHeight="1" x14ac:dyDescent="0.3">
      <c r="A80" s="7"/>
      <c r="B80" s="45" t="s">
        <v>7</v>
      </c>
      <c r="C80" s="12">
        <f>1/H75</f>
        <v>0.14285714285714285</v>
      </c>
      <c r="D80" s="12">
        <f>1/H76</f>
        <v>0.16666666666666666</v>
      </c>
      <c r="E80" s="12">
        <f>1/H77</f>
        <v>0.2</v>
      </c>
      <c r="F80" s="12">
        <f>1/H78</f>
        <v>0.25</v>
      </c>
      <c r="G80" s="12">
        <f>1/H79</f>
        <v>0.33333333333333331</v>
      </c>
      <c r="H80" s="10">
        <v>1</v>
      </c>
      <c r="I80" s="16">
        <v>3</v>
      </c>
      <c r="J80" s="21">
        <v>4</v>
      </c>
      <c r="K80" s="27">
        <v>4.6338403551573239E-2</v>
      </c>
      <c r="L80" s="8"/>
      <c r="M80" s="8"/>
      <c r="N80" s="8"/>
      <c r="O80" s="8"/>
      <c r="P80" s="7"/>
      <c r="Q80" s="7"/>
      <c r="R80" s="6"/>
      <c r="T80" s="7"/>
      <c r="U80" s="7"/>
      <c r="V80" s="7"/>
      <c r="W80" s="7"/>
      <c r="X80" s="7"/>
      <c r="Y80" s="7"/>
    </row>
    <row r="81" spans="1:25" ht="13.15" customHeight="1" x14ac:dyDescent="0.3">
      <c r="A81" s="7"/>
      <c r="B81" s="45" t="s">
        <v>8</v>
      </c>
      <c r="C81" s="12">
        <f>1/I75</f>
        <v>0.125</v>
      </c>
      <c r="D81" s="12">
        <f>1/I76</f>
        <v>0.14285714285714285</v>
      </c>
      <c r="E81" s="12">
        <f>1/I77</f>
        <v>0.16666666666666666</v>
      </c>
      <c r="F81" s="12">
        <f>1/I78</f>
        <v>0.2</v>
      </c>
      <c r="G81" s="12">
        <f>1/I79</f>
        <v>0.25</v>
      </c>
      <c r="H81" s="12">
        <f>1/I80</f>
        <v>0.33333333333333331</v>
      </c>
      <c r="I81" s="10">
        <v>1</v>
      </c>
      <c r="J81" s="16">
        <v>3</v>
      </c>
      <c r="K81" s="27">
        <v>2.998832470839357E-2</v>
      </c>
      <c r="L81" s="8"/>
      <c r="M81" s="8"/>
      <c r="N81" s="8"/>
      <c r="O81" s="8"/>
      <c r="P81" s="7"/>
      <c r="Q81" s="7"/>
      <c r="R81" s="6"/>
      <c r="T81" s="7"/>
      <c r="U81" s="7"/>
      <c r="V81" s="7"/>
      <c r="W81" s="7"/>
      <c r="X81" s="7"/>
      <c r="Y81" s="7"/>
    </row>
    <row r="82" spans="1:25" ht="13.15" customHeight="1" x14ac:dyDescent="0.3">
      <c r="A82" s="7"/>
      <c r="B82" s="45" t="s">
        <v>9</v>
      </c>
      <c r="C82" s="12">
        <f>1/J75</f>
        <v>0.1111111111111111</v>
      </c>
      <c r="D82" s="12">
        <f>1/J76</f>
        <v>0.125</v>
      </c>
      <c r="E82" s="12">
        <f>1/J77</f>
        <v>0.14285714285714285</v>
      </c>
      <c r="F82" s="12">
        <f>1/J78</f>
        <v>0.16666666666666666</v>
      </c>
      <c r="G82" s="12">
        <f>1/J79</f>
        <v>0.2</v>
      </c>
      <c r="H82" s="12">
        <f>1/J80</f>
        <v>0.25</v>
      </c>
      <c r="I82" s="12">
        <f>1/J81</f>
        <v>0.33333333333333331</v>
      </c>
      <c r="J82" s="10">
        <v>1</v>
      </c>
      <c r="K82" s="27">
        <v>1.9196237117888412E-2</v>
      </c>
      <c r="L82" s="8"/>
      <c r="M82" s="8"/>
      <c r="N82" s="8"/>
      <c r="O82" s="8"/>
      <c r="P82" s="7"/>
      <c r="Q82" s="7"/>
      <c r="R82" s="6"/>
      <c r="T82" s="7"/>
      <c r="U82" s="7"/>
      <c r="V82" s="7"/>
      <c r="W82" s="7"/>
      <c r="X82" s="7"/>
      <c r="Y82" s="7"/>
    </row>
    <row r="83" spans="1:25" ht="13.15" customHeight="1" x14ac:dyDescent="0.3">
      <c r="A83" s="7"/>
      <c r="B83" s="14"/>
      <c r="C83" s="14"/>
      <c r="D83" s="14"/>
      <c r="E83" s="15"/>
      <c r="F83" s="17"/>
      <c r="G83" s="7"/>
      <c r="H83" s="7"/>
      <c r="I83" s="7"/>
      <c r="J83" s="42" t="s">
        <v>17</v>
      </c>
      <c r="K83" s="34">
        <v>8.7951410050670003</v>
      </c>
      <c r="L83" s="8"/>
      <c r="M83" s="8"/>
      <c r="N83" s="8"/>
      <c r="O83" s="8"/>
      <c r="P83" s="7"/>
      <c r="Q83" s="7"/>
      <c r="R83" s="6"/>
      <c r="T83" s="7"/>
      <c r="U83" s="7"/>
      <c r="V83" s="7"/>
      <c r="W83" s="7"/>
      <c r="X83" s="7"/>
      <c r="Y83" s="7"/>
    </row>
    <row r="84" spans="1:25" ht="13.15" customHeight="1" x14ac:dyDescent="0.3">
      <c r="A84" s="7"/>
      <c r="B84" s="14"/>
      <c r="C84" s="14"/>
      <c r="D84" s="14"/>
      <c r="E84" s="15"/>
      <c r="F84" s="17"/>
      <c r="G84" s="7"/>
      <c r="H84" s="7"/>
      <c r="I84" s="7"/>
      <c r="J84" s="44" t="s">
        <v>4</v>
      </c>
      <c r="K84" s="34">
        <v>8.0561398689665692E-2</v>
      </c>
      <c r="L84" s="8"/>
      <c r="M84" s="8"/>
      <c r="N84" s="8"/>
      <c r="O84" s="8"/>
      <c r="P84" s="7"/>
      <c r="Q84" s="7"/>
      <c r="R84" s="6"/>
      <c r="T84" s="7"/>
      <c r="U84" s="7"/>
      <c r="V84" s="7"/>
      <c r="W84" s="7"/>
      <c r="X84" s="7"/>
      <c r="Y84" s="7"/>
    </row>
    <row r="85" spans="1:25" ht="13.15" customHeight="1" x14ac:dyDescent="0.3">
      <c r="A85" s="7"/>
      <c r="B85" s="14"/>
      <c r="C85" s="14"/>
      <c r="D85" s="14"/>
      <c r="E85" s="15"/>
      <c r="F85" s="17"/>
      <c r="G85" s="17"/>
      <c r="H85" s="17"/>
      <c r="I85" s="17"/>
      <c r="J85" s="18"/>
      <c r="K85" s="7"/>
      <c r="L85" s="8"/>
      <c r="M85" s="8"/>
      <c r="N85" s="8"/>
      <c r="O85" s="8"/>
      <c r="P85" s="7"/>
      <c r="Q85" s="7"/>
      <c r="R85" s="7"/>
      <c r="S85" s="7"/>
      <c r="T85" s="7"/>
      <c r="U85" s="7"/>
      <c r="V85" s="7"/>
      <c r="W85" s="7"/>
      <c r="X85" s="7"/>
      <c r="Y85" s="7"/>
    </row>
    <row r="86" spans="1:25" ht="13.15" customHeight="1" x14ac:dyDescent="0.3">
      <c r="A86" s="7"/>
      <c r="B86" s="14"/>
      <c r="C86" s="14"/>
      <c r="D86" s="14"/>
      <c r="E86" s="15"/>
      <c r="F86" s="17"/>
      <c r="G86" s="17"/>
      <c r="H86" s="17"/>
      <c r="I86" s="17"/>
      <c r="J86" s="18"/>
      <c r="K86" s="7"/>
      <c r="L86" s="7"/>
      <c r="M86" s="7"/>
      <c r="N86" s="8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</row>
    <row r="87" spans="1:25" ht="13.15" customHeight="1" x14ac:dyDescent="0.3">
      <c r="A87" s="7"/>
      <c r="B87" s="14"/>
      <c r="C87" s="14"/>
      <c r="D87" s="14"/>
      <c r="E87" s="15"/>
      <c r="F87" s="17"/>
      <c r="G87" s="17"/>
      <c r="H87" s="17"/>
      <c r="I87" s="17"/>
      <c r="J87" s="18"/>
      <c r="K87" s="7"/>
      <c r="L87" s="8"/>
      <c r="M87" s="8"/>
      <c r="N87" s="8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</row>
    <row r="88" spans="1:25" ht="13.15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16" t="s">
        <v>14</v>
      </c>
      <c r="M88" s="8"/>
      <c r="N88" s="8"/>
      <c r="O88" s="8"/>
      <c r="P88" s="7"/>
      <c r="Q88" s="7"/>
      <c r="R88" s="7"/>
      <c r="S88" s="7"/>
      <c r="T88" s="7"/>
      <c r="U88" s="7"/>
      <c r="V88" s="7"/>
      <c r="W88" s="7"/>
      <c r="X88" s="7"/>
      <c r="Y88" s="7"/>
    </row>
    <row r="89" spans="1:25" ht="13.15" customHeight="1" x14ac:dyDescent="0.35">
      <c r="A89" s="7"/>
      <c r="B89" s="46"/>
      <c r="C89" s="45" t="s">
        <v>0</v>
      </c>
      <c r="D89" s="45" t="s">
        <v>1</v>
      </c>
      <c r="E89" s="45" t="s">
        <v>3</v>
      </c>
      <c r="F89" s="45" t="s">
        <v>5</v>
      </c>
      <c r="G89" s="45" t="s">
        <v>6</v>
      </c>
      <c r="H89" s="45" t="s">
        <v>7</v>
      </c>
      <c r="I89" s="45" t="s">
        <v>8</v>
      </c>
      <c r="J89" s="45" t="s">
        <v>9</v>
      </c>
      <c r="K89" s="45" t="s">
        <v>10</v>
      </c>
      <c r="L89" s="25" t="s">
        <v>11</v>
      </c>
      <c r="M89" s="8"/>
      <c r="N89" s="8"/>
      <c r="O89" s="8"/>
      <c r="P89" s="8"/>
      <c r="Q89" s="7"/>
      <c r="R89" s="6"/>
      <c r="U89" s="7"/>
      <c r="V89" s="7"/>
      <c r="W89" s="7"/>
      <c r="X89" s="7"/>
      <c r="Y89" s="7"/>
    </row>
    <row r="90" spans="1:25" ht="13.15" customHeight="1" x14ac:dyDescent="0.3">
      <c r="A90" s="7"/>
      <c r="B90" s="45" t="s">
        <v>0</v>
      </c>
      <c r="C90" s="10">
        <v>1</v>
      </c>
      <c r="D90" s="16">
        <v>2</v>
      </c>
      <c r="E90" s="16">
        <v>3</v>
      </c>
      <c r="F90" s="21">
        <v>4</v>
      </c>
      <c r="G90" s="21">
        <v>5</v>
      </c>
      <c r="H90" s="21">
        <v>6</v>
      </c>
      <c r="I90" s="21">
        <v>7</v>
      </c>
      <c r="J90" s="21">
        <v>8</v>
      </c>
      <c r="K90" s="21">
        <v>9</v>
      </c>
      <c r="L90" s="27">
        <f t="array" ref="L90:L100">AHPmat_ColNorm(C90:K98)</f>
        <v>0.30695259939939601</v>
      </c>
      <c r="M90" s="8"/>
      <c r="N90" s="8"/>
      <c r="O90" s="8"/>
      <c r="P90" s="7"/>
      <c r="Q90" s="8"/>
      <c r="R90" s="6"/>
      <c r="U90" s="7"/>
      <c r="V90" s="7"/>
      <c r="W90" s="7"/>
      <c r="X90" s="7"/>
      <c r="Y90" s="7"/>
    </row>
    <row r="91" spans="1:25" ht="13.15" customHeight="1" x14ac:dyDescent="0.3">
      <c r="A91" s="7"/>
      <c r="B91" s="45" t="s">
        <v>1</v>
      </c>
      <c r="C91" s="12">
        <f>1/D90</f>
        <v>0.5</v>
      </c>
      <c r="D91" s="10">
        <v>1</v>
      </c>
      <c r="E91" s="16">
        <v>2</v>
      </c>
      <c r="F91" s="21">
        <v>3</v>
      </c>
      <c r="G91" s="21">
        <v>4</v>
      </c>
      <c r="H91" s="21">
        <v>5</v>
      </c>
      <c r="I91" s="21">
        <v>6</v>
      </c>
      <c r="J91" s="21">
        <v>7</v>
      </c>
      <c r="K91" s="21">
        <v>8</v>
      </c>
      <c r="L91" s="27">
        <v>0.21820375948433532</v>
      </c>
      <c r="M91" s="8"/>
      <c r="N91" s="8"/>
      <c r="O91" s="8"/>
      <c r="P91" s="8"/>
      <c r="Q91" s="8"/>
      <c r="R91" s="6"/>
      <c r="U91" s="7"/>
      <c r="V91" s="7"/>
      <c r="W91" s="7"/>
      <c r="X91" s="7"/>
      <c r="Y91" s="7"/>
    </row>
    <row r="92" spans="1:25" ht="13.15" customHeight="1" x14ac:dyDescent="0.3">
      <c r="A92" s="7"/>
      <c r="B92" s="45" t="s">
        <v>3</v>
      </c>
      <c r="C92" s="12">
        <f>1/E90</f>
        <v>0.33333333333333331</v>
      </c>
      <c r="D92" s="12">
        <f>1/E91</f>
        <v>0.5</v>
      </c>
      <c r="E92" s="10">
        <v>1</v>
      </c>
      <c r="F92" s="21">
        <v>2</v>
      </c>
      <c r="G92" s="21">
        <v>3</v>
      </c>
      <c r="H92" s="21">
        <v>4</v>
      </c>
      <c r="I92" s="21">
        <v>5</v>
      </c>
      <c r="J92" s="21">
        <v>6</v>
      </c>
      <c r="K92" s="21">
        <v>7</v>
      </c>
      <c r="L92" s="27">
        <v>0.15432257572489969</v>
      </c>
      <c r="M92" s="8"/>
      <c r="N92" s="8"/>
      <c r="O92" s="8"/>
      <c r="P92" s="8"/>
      <c r="Q92" s="8"/>
      <c r="R92" s="6"/>
      <c r="U92" s="7"/>
      <c r="V92" s="7"/>
      <c r="W92" s="7"/>
      <c r="X92" s="7"/>
      <c r="Y92" s="7"/>
    </row>
    <row r="93" spans="1:25" ht="13.15" customHeight="1" x14ac:dyDescent="0.3">
      <c r="A93" s="7"/>
      <c r="B93" s="45" t="s">
        <v>5</v>
      </c>
      <c r="C93" s="12">
        <f>1/F90</f>
        <v>0.25</v>
      </c>
      <c r="D93" s="12">
        <f>1/F91</f>
        <v>0.33333333333333331</v>
      </c>
      <c r="E93" s="12">
        <f>1/F92</f>
        <v>0.5</v>
      </c>
      <c r="F93" s="10">
        <v>1</v>
      </c>
      <c r="G93" s="21">
        <v>2</v>
      </c>
      <c r="H93" s="21">
        <v>3</v>
      </c>
      <c r="I93" s="21">
        <v>4</v>
      </c>
      <c r="J93" s="21">
        <v>5</v>
      </c>
      <c r="K93" s="21">
        <v>6</v>
      </c>
      <c r="L93" s="27">
        <v>0.10888162043467035</v>
      </c>
      <c r="M93" s="8"/>
      <c r="N93" s="8"/>
      <c r="O93" s="8"/>
      <c r="P93" s="8"/>
      <c r="Q93" s="7"/>
      <c r="R93" s="6"/>
      <c r="U93" s="7"/>
      <c r="V93" s="7"/>
      <c r="W93" s="7"/>
      <c r="X93" s="7"/>
      <c r="Y93" s="7"/>
    </row>
    <row r="94" spans="1:25" ht="13.15" customHeight="1" x14ac:dyDescent="0.3">
      <c r="A94" s="7"/>
      <c r="B94" s="45" t="s">
        <v>6</v>
      </c>
      <c r="C94" s="22">
        <f>1/G90</f>
        <v>0.2</v>
      </c>
      <c r="D94" s="22">
        <f>1/G91</f>
        <v>0.25</v>
      </c>
      <c r="E94" s="22">
        <f>1/G92</f>
        <v>0.33333333333333331</v>
      </c>
      <c r="F94" s="22">
        <f>1/G93</f>
        <v>0.5</v>
      </c>
      <c r="G94" s="23">
        <v>1</v>
      </c>
      <c r="H94" s="21">
        <v>2</v>
      </c>
      <c r="I94" s="21">
        <v>3</v>
      </c>
      <c r="J94" s="21">
        <v>4</v>
      </c>
      <c r="K94" s="21">
        <v>5</v>
      </c>
      <c r="L94" s="27">
        <v>7.6442362557350138E-2</v>
      </c>
      <c r="M94" s="8"/>
      <c r="N94" s="8"/>
      <c r="O94" s="8"/>
      <c r="P94" s="8"/>
      <c r="Q94" s="7"/>
      <c r="R94" s="6"/>
      <c r="U94" s="7"/>
      <c r="V94" s="7"/>
      <c r="W94" s="7"/>
      <c r="X94" s="7"/>
      <c r="Y94" s="7"/>
    </row>
    <row r="95" spans="1:25" ht="13.15" customHeight="1" x14ac:dyDescent="0.3">
      <c r="A95" s="7"/>
      <c r="B95" s="45" t="s">
        <v>7</v>
      </c>
      <c r="C95" s="12">
        <f>1/H90</f>
        <v>0.16666666666666666</v>
      </c>
      <c r="D95" s="12">
        <f>1/H91</f>
        <v>0.2</v>
      </c>
      <c r="E95" s="12">
        <f>1/H92</f>
        <v>0.25</v>
      </c>
      <c r="F95" s="12">
        <f>1/H93</f>
        <v>0.33333333333333331</v>
      </c>
      <c r="G95" s="12">
        <f>1/H94</f>
        <v>0.5</v>
      </c>
      <c r="H95" s="10">
        <v>1</v>
      </c>
      <c r="I95" s="16">
        <v>2</v>
      </c>
      <c r="J95" s="21">
        <v>3</v>
      </c>
      <c r="K95" s="21">
        <v>4</v>
      </c>
      <c r="L95" s="27">
        <v>5.330869760925986E-2</v>
      </c>
      <c r="M95" s="8"/>
      <c r="N95" s="8"/>
      <c r="O95" s="8"/>
      <c r="P95" s="8"/>
      <c r="Q95" s="7"/>
      <c r="R95" s="6"/>
      <c r="U95" s="7"/>
      <c r="V95" s="7"/>
      <c r="W95" s="7"/>
      <c r="X95" s="7"/>
      <c r="Y95" s="7"/>
    </row>
    <row r="96" spans="1:25" ht="13.15" customHeight="1" x14ac:dyDescent="0.3">
      <c r="A96" s="7"/>
      <c r="B96" s="45" t="s">
        <v>8</v>
      </c>
      <c r="C96" s="12">
        <f>1/I90</f>
        <v>0.14285714285714285</v>
      </c>
      <c r="D96" s="12">
        <f>1/I91</f>
        <v>0.16666666666666666</v>
      </c>
      <c r="E96" s="12">
        <f>1/I92</f>
        <v>0.2</v>
      </c>
      <c r="F96" s="12">
        <f>1/I93</f>
        <v>0.25</v>
      </c>
      <c r="G96" s="12">
        <f>1/I94</f>
        <v>0.33333333333333331</v>
      </c>
      <c r="H96" s="12">
        <f>1/I95</f>
        <v>0.5</v>
      </c>
      <c r="I96" s="10">
        <v>1</v>
      </c>
      <c r="J96" s="16">
        <v>2</v>
      </c>
      <c r="K96" s="16">
        <v>3</v>
      </c>
      <c r="L96" s="27">
        <v>3.7028328011566185E-2</v>
      </c>
      <c r="M96" s="8"/>
      <c r="N96" s="8"/>
      <c r="O96" s="8"/>
      <c r="P96" s="8"/>
      <c r="Q96" s="7"/>
      <c r="R96" s="6"/>
      <c r="U96" s="7"/>
      <c r="V96" s="7"/>
      <c r="W96" s="7"/>
      <c r="X96" s="7"/>
      <c r="Y96" s="7"/>
    </row>
    <row r="97" spans="1:25" ht="13.15" customHeight="1" x14ac:dyDescent="0.3">
      <c r="A97" s="7"/>
      <c r="B97" s="45" t="s">
        <v>9</v>
      </c>
      <c r="C97" s="12">
        <f>1/J90</f>
        <v>0.125</v>
      </c>
      <c r="D97" s="12">
        <f>1/J91</f>
        <v>0.14285714285714285</v>
      </c>
      <c r="E97" s="12">
        <f>1/J92</f>
        <v>0.16666666666666666</v>
      </c>
      <c r="F97" s="12">
        <f>1/J93</f>
        <v>0.2</v>
      </c>
      <c r="G97" s="12">
        <f>1/J94</f>
        <v>0.25</v>
      </c>
      <c r="H97" s="12">
        <f>1/J95</f>
        <v>0.33333333333333331</v>
      </c>
      <c r="I97" s="12">
        <f>1/J96</f>
        <v>0.5</v>
      </c>
      <c r="J97" s="10">
        <v>1</v>
      </c>
      <c r="K97" s="16">
        <v>2</v>
      </c>
      <c r="L97" s="27">
        <v>2.5945969037650621E-2</v>
      </c>
      <c r="M97" s="8"/>
      <c r="N97" s="8"/>
      <c r="O97" s="8"/>
      <c r="P97" s="8"/>
      <c r="Q97" s="7"/>
      <c r="R97" s="6"/>
      <c r="U97" s="7"/>
      <c r="V97" s="7"/>
      <c r="W97" s="7"/>
      <c r="X97" s="7"/>
      <c r="Y97" s="7"/>
    </row>
    <row r="98" spans="1:25" ht="13.15" customHeight="1" x14ac:dyDescent="0.3">
      <c r="A98" s="7"/>
      <c r="B98" s="45" t="s">
        <v>10</v>
      </c>
      <c r="C98" s="12">
        <f>1/K90</f>
        <v>0.1111111111111111</v>
      </c>
      <c r="D98" s="12">
        <f>1/K91</f>
        <v>0.125</v>
      </c>
      <c r="E98" s="12">
        <f>1/K92</f>
        <v>0.14285714285714285</v>
      </c>
      <c r="F98" s="12">
        <f>1/K93</f>
        <v>0.16666666666666666</v>
      </c>
      <c r="G98" s="12">
        <f>1/K94</f>
        <v>0.2</v>
      </c>
      <c r="H98" s="12">
        <f>1/K95</f>
        <v>0.25</v>
      </c>
      <c r="I98" s="12">
        <f>1/K96</f>
        <v>0.33333333333333331</v>
      </c>
      <c r="J98" s="12">
        <f>1/K97</f>
        <v>0.5</v>
      </c>
      <c r="K98" s="10">
        <v>1</v>
      </c>
      <c r="L98" s="27">
        <v>1.8914087740871801E-2</v>
      </c>
      <c r="M98" s="8"/>
      <c r="N98" s="8"/>
      <c r="O98" s="8"/>
      <c r="P98" s="8"/>
      <c r="Q98" s="7"/>
      <c r="R98" s="6"/>
      <c r="U98" s="7"/>
      <c r="V98" s="7"/>
      <c r="W98" s="7"/>
      <c r="X98" s="7"/>
      <c r="Y98" s="7"/>
    </row>
    <row r="99" spans="1:25" ht="13.15" customHeight="1" x14ac:dyDescent="0.3">
      <c r="A99" s="7"/>
      <c r="B99" s="14"/>
      <c r="C99" s="14"/>
      <c r="D99" s="14"/>
      <c r="E99" s="15"/>
      <c r="F99" s="17"/>
      <c r="G99" s="17"/>
      <c r="H99" s="17"/>
      <c r="I99" s="17"/>
      <c r="J99" s="7"/>
      <c r="K99" s="42" t="s">
        <v>17</v>
      </c>
      <c r="L99" s="34">
        <v>9.4079942175104847</v>
      </c>
      <c r="M99" s="8"/>
      <c r="N99" s="8"/>
      <c r="O99" s="8"/>
      <c r="P99" s="8"/>
      <c r="Q99" s="7"/>
      <c r="R99" s="6"/>
      <c r="U99" s="7"/>
      <c r="V99" s="7"/>
      <c r="W99" s="7"/>
      <c r="X99" s="7"/>
      <c r="Y99" s="7"/>
    </row>
    <row r="100" spans="1:25" ht="13.15" customHeight="1" x14ac:dyDescent="0.3">
      <c r="A100" s="7"/>
      <c r="B100" s="14"/>
      <c r="C100" s="14"/>
      <c r="D100" s="14"/>
      <c r="E100" s="15"/>
      <c r="F100" s="17"/>
      <c r="G100" s="17"/>
      <c r="H100" s="17"/>
      <c r="I100" s="17"/>
      <c r="J100" s="17"/>
      <c r="K100" s="44" t="s">
        <v>4</v>
      </c>
      <c r="L100" s="34">
        <v>3.517191530262799E-2</v>
      </c>
      <c r="M100" s="8"/>
      <c r="N100" s="8"/>
      <c r="O100" s="8"/>
      <c r="P100" s="7"/>
      <c r="Q100" s="7"/>
      <c r="R100" s="6"/>
      <c r="U100" s="7"/>
      <c r="V100" s="7"/>
      <c r="W100" s="7"/>
      <c r="X100" s="7"/>
      <c r="Y100" s="7"/>
    </row>
    <row r="101" spans="1:25" ht="13.15" customHeight="1" x14ac:dyDescent="0.3">
      <c r="A101" s="7"/>
      <c r="B101" s="14"/>
      <c r="C101" s="14"/>
      <c r="D101" s="14"/>
      <c r="E101" s="15"/>
      <c r="F101" s="17"/>
      <c r="G101" s="17"/>
      <c r="H101" s="17"/>
      <c r="I101" s="17"/>
      <c r="J101" s="7"/>
      <c r="K101" s="7"/>
      <c r="L101" s="7"/>
      <c r="M101" s="18"/>
      <c r="N101" s="7"/>
      <c r="O101" s="8"/>
      <c r="P101" s="7"/>
      <c r="Q101" s="7"/>
      <c r="R101" s="7"/>
      <c r="S101" s="7"/>
      <c r="T101" s="7"/>
      <c r="U101" s="7"/>
      <c r="V101" s="7"/>
      <c r="W101" s="7"/>
      <c r="X101" s="7"/>
      <c r="Y101" s="7"/>
    </row>
    <row r="102" spans="1:25" ht="13.15" customHeight="1" x14ac:dyDescent="0.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</row>
    <row r="103" spans="1:25" ht="13.15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</row>
    <row r="104" spans="1:25" ht="13.15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</row>
    <row r="105" spans="1:25" ht="13.15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</row>
    <row r="106" spans="1:25" ht="13.15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</row>
    <row r="107" spans="1:25" ht="13.15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</row>
    <row r="108" spans="1:25" ht="13.15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</row>
    <row r="109" spans="1:25" ht="13.15" customHeight="1" x14ac:dyDescent="0.3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6"/>
    </row>
    <row r="110" spans="1:25" ht="13.15" customHeight="1" x14ac:dyDescent="0.3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</row>
    <row r="111" spans="1:25" ht="13.15" customHeight="1" x14ac:dyDescent="0.3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</row>
    <row r="112" spans="1:25" ht="13.15" customHeight="1" x14ac:dyDescent="0.3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</row>
    <row r="113" spans="1:17" ht="13.15" customHeight="1" x14ac:dyDescent="0.3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</row>
    <row r="114" spans="1:17" ht="13.15" customHeight="1" x14ac:dyDescent="0.3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</row>
    <row r="115" spans="1:17" ht="13.15" customHeight="1" x14ac:dyDescent="0.3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</row>
    <row r="116" spans="1:17" ht="13.15" customHeight="1" x14ac:dyDescent="0.3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</row>
    <row r="117" spans="1:17" ht="13.15" customHeight="1" x14ac:dyDescent="0.3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</row>
    <row r="118" spans="1:17" ht="13.15" customHeight="1" x14ac:dyDescent="0.3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</row>
    <row r="119" spans="1:17" ht="13.1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</row>
    <row r="120" spans="1:17" ht="13.1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</row>
    <row r="121" spans="1:17" ht="13.1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17" ht="13.1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7" ht="13.1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</row>
    <row r="124" spans="1:17" ht="13.1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</row>
    <row r="125" spans="1:17" ht="13.1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</row>
    <row r="126" spans="1:17" ht="13.1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17" ht="13.1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</row>
    <row r="128" spans="1:17" ht="13.1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</row>
    <row r="129" spans="1:16" ht="13.1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</row>
    <row r="130" spans="1:16" ht="13.1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</row>
    <row r="131" spans="1:16" ht="13.1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</row>
    <row r="132" spans="1:16" ht="13.1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</row>
    <row r="133" spans="1:16" ht="13.1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</row>
    <row r="134" spans="1:16" ht="13.1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</row>
    <row r="135" spans="1:16" ht="13.1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</row>
    <row r="136" spans="1:16" ht="13.1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</row>
    <row r="137" spans="1:16" ht="13.1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</row>
    <row r="138" spans="1:16" ht="13.1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</row>
    <row r="139" spans="1:16" ht="13.1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</row>
    <row r="140" spans="1:16" ht="13.1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</row>
    <row r="141" spans="1:16" ht="13.1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</row>
    <row r="142" spans="1:16" ht="13.1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</row>
    <row r="143" spans="1:16" ht="13.1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</row>
    <row r="144" spans="1:16" ht="13.1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</row>
    <row r="145" spans="1:16" ht="13.1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</row>
    <row r="146" spans="1:16" ht="13.1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</row>
    <row r="147" spans="1:16" ht="13.1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</row>
    <row r="148" spans="1:16" ht="13.1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</row>
    <row r="149" spans="1:16" ht="13.1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</row>
    <row r="150" spans="1:16" ht="13.1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</row>
    <row r="151" spans="1:16" ht="13.1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</row>
    <row r="152" spans="1:16" ht="13.1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</row>
    <row r="153" spans="1:16" ht="13.1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</row>
    <row r="154" spans="1:16" ht="13.1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</row>
    <row r="155" spans="1:16" ht="13.1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</row>
    <row r="156" spans="1:16" ht="13.1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</row>
    <row r="157" spans="1:16" ht="13.1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</row>
    <row r="158" spans="1:16" ht="13.1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</row>
    <row r="159" spans="1:16" ht="13.1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</row>
    <row r="160" spans="1:16" ht="13.1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</row>
    <row r="161" spans="1:16" ht="13.1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</row>
    <row r="162" spans="1:16" ht="13.1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</row>
    <row r="163" spans="1:16" ht="13.1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</row>
    <row r="164" spans="1:16" ht="13.1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</row>
    <row r="165" spans="1:16" ht="13.1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</row>
    <row r="166" spans="1:16" ht="13.1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</row>
    <row r="167" spans="1:16" ht="13.1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</row>
    <row r="168" spans="1:16" ht="13.1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</row>
    <row r="169" spans="1:16" ht="13.1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</row>
    <row r="170" spans="1:16" ht="13.1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</row>
    <row r="171" spans="1:16" ht="13.1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</row>
    <row r="172" spans="1:16" ht="13.1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</row>
    <row r="173" spans="1:16" ht="13.1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</row>
    <row r="174" spans="1:16" ht="13.1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</row>
    <row r="175" spans="1:16" ht="13.1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</row>
    <row r="176" spans="1:16" ht="13.1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</row>
    <row r="177" spans="1:16" ht="13.1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</row>
    <row r="178" spans="1:16" ht="13.1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</row>
    <row r="179" spans="1:16" ht="13.1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</row>
    <row r="180" spans="1:16" ht="13.1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</row>
    <row r="181" spans="1:16" ht="13.1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</row>
    <row r="182" spans="1:16" ht="13.1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</row>
    <row r="183" spans="1:16" ht="13.1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</row>
    <row r="184" spans="1:16" ht="13.1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</row>
    <row r="185" spans="1:16" ht="13.1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</row>
    <row r="186" spans="1:16" ht="13.1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</row>
    <row r="187" spans="1:16" ht="13.1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</row>
    <row r="188" spans="1:16" ht="13.1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</row>
    <row r="189" spans="1:16" ht="13.1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</row>
    <row r="190" spans="1:16" ht="13.1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</row>
    <row r="191" spans="1:16" ht="13.1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</row>
    <row r="192" spans="1:16" ht="13.1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</row>
    <row r="193" spans="1:16" ht="13.1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</row>
    <row r="194" spans="1:16" ht="13.1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</row>
    <row r="195" spans="1:16" ht="13.1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</row>
    <row r="196" spans="1:16" ht="13.1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</row>
    <row r="197" spans="1:16" ht="13.1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</row>
    <row r="198" spans="1:16" ht="13.1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</row>
    <row r="199" spans="1:16" ht="13.1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</row>
    <row r="200" spans="1:16" ht="13.1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</row>
    <row r="201" spans="1:16" ht="13.1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</row>
    <row r="202" spans="1:16" ht="13.1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</row>
    <row r="203" spans="1:16" ht="13.1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</row>
    <row r="204" spans="1:16" ht="13.1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</row>
    <row r="205" spans="1:16" ht="13.1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</row>
    <row r="206" spans="1:16" ht="13.1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</row>
    <row r="207" spans="1:16" ht="13.1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</row>
    <row r="208" spans="1:16" ht="13.1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</row>
    <row r="209" spans="1:16" ht="13.1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</row>
    <row r="210" spans="1:16" ht="13.1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</row>
    <row r="211" spans="1:16" ht="13.1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</row>
    <row r="212" spans="1:16" ht="13.1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</row>
    <row r="213" spans="1:16" ht="13.1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</row>
    <row r="214" spans="1:16" ht="13.1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</row>
    <row r="215" spans="1:16" ht="13.1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</row>
    <row r="216" spans="1:16" ht="13.1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</row>
    <row r="217" spans="1:16" ht="13.1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</row>
    <row r="218" spans="1:16" ht="13.1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</row>
    <row r="219" spans="1:16" ht="13.1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</row>
    <row r="220" spans="1:16" ht="13.1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</row>
    <row r="221" spans="1:16" ht="13.1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</row>
    <row r="222" spans="1:16" ht="13.1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</row>
    <row r="223" spans="1:16" ht="13.1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</row>
    <row r="224" spans="1:16" ht="13.1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</row>
    <row r="225" spans="1:16" ht="13.1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</row>
    <row r="226" spans="1:16" ht="13.1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</row>
    <row r="227" spans="1:16" ht="13.1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</row>
    <row r="228" spans="1:16" ht="13.1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</row>
    <row r="229" spans="1:16" ht="13.1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</row>
    <row r="230" spans="1:16" ht="13.1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</row>
    <row r="231" spans="1:16" ht="13.1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</row>
    <row r="232" spans="1:16" ht="13.1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</row>
    <row r="233" spans="1:16" ht="13.1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</row>
    <row r="234" spans="1:16" ht="13.1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</row>
    <row r="235" spans="1:16" ht="13.1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</row>
    <row r="236" spans="1:16" ht="13.1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</row>
    <row r="237" spans="1:16" ht="13.1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</row>
    <row r="238" spans="1:16" ht="13.1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</row>
    <row r="239" spans="1:16" ht="13.1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</row>
    <row r="240" spans="1:16" ht="13.1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</row>
    <row r="241" spans="1:16" ht="13.1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</row>
    <row r="242" spans="1:16" ht="13.1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</row>
    <row r="243" spans="1:16" ht="13.1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</row>
    <row r="244" spans="1:16" ht="13.1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</row>
    <row r="245" spans="1:16" ht="13.1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</row>
    <row r="246" spans="1:16" ht="13.1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</row>
    <row r="247" spans="1:16" ht="13.1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</row>
    <row r="248" spans="1:16" ht="13.1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</row>
    <row r="249" spans="1:16" ht="13.1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</row>
    <row r="250" spans="1:16" ht="13.15" customHeight="1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</row>
    <row r="251" spans="1:16" ht="13.15" customHeight="1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</row>
    <row r="252" spans="1:16" ht="13.15" customHeight="1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</row>
    <row r="253" spans="1:16" ht="13.15" customHeight="1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</row>
    <row r="254" spans="1:16" ht="13.15" customHeight="1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</row>
    <row r="255" spans="1:16" ht="13.15" customHeight="1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</row>
    <row r="256" spans="1:16" ht="13.15" customHeight="1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</row>
    <row r="257" spans="1:16" ht="13.15" customHeight="1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</row>
    <row r="258" spans="1:16" ht="13.15" customHeight="1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</row>
    <row r="259" spans="1:16" ht="13.15" customHeight="1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</row>
    <row r="260" spans="1:16" ht="13.15" customHeight="1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</row>
    <row r="261" spans="1:16" ht="13.15" customHeight="1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</row>
    <row r="262" spans="1:16" ht="13.15" customHeight="1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</row>
    <row r="263" spans="1:16" ht="13.15" customHeight="1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</row>
    <row r="264" spans="1:16" ht="13.15" customHeight="1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</row>
    <row r="265" spans="1:16" ht="13.15" customHeight="1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</row>
    <row r="266" spans="1:16" ht="13.15" customHeight="1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</row>
    <row r="267" spans="1:16" ht="13.15" customHeight="1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</row>
    <row r="268" spans="1:16" ht="13.15" customHeight="1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</row>
    <row r="269" spans="1:16" ht="13.15" customHeight="1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</row>
    <row r="270" spans="1:16" ht="13.15" customHeight="1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</row>
    <row r="271" spans="1:16" ht="13.15" customHeight="1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</row>
    <row r="272" spans="1:16" ht="13.15" customHeight="1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</row>
    <row r="273" spans="1:16" ht="13.15" customHeight="1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</row>
    <row r="274" spans="1:16" ht="13.15" customHeight="1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</row>
    <row r="275" spans="1:16" ht="13.15" customHeight="1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</row>
    <row r="276" spans="1:16" ht="13.15" customHeight="1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</row>
    <row r="277" spans="1:16" ht="13.15" customHeight="1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</row>
    <row r="278" spans="1:16" ht="13.15" customHeight="1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</row>
    <row r="279" spans="1:16" ht="13.15" customHeight="1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</row>
    <row r="280" spans="1:16" ht="13.15" customHeight="1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</row>
    <row r="281" spans="1:16" ht="13.15" customHeight="1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</row>
    <row r="282" spans="1:16" ht="13.15" customHeight="1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</row>
    <row r="283" spans="1:16" ht="13.15" customHeight="1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</row>
    <row r="284" spans="1:16" ht="13.15" customHeight="1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</row>
    <row r="285" spans="1:16" ht="13.15" customHeight="1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</row>
    <row r="286" spans="1:16" ht="13.15" customHeight="1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</row>
    <row r="287" spans="1:16" ht="13.15" customHeight="1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</row>
    <row r="288" spans="1:16" ht="13.15" customHeight="1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</row>
    <row r="289" spans="1:16" ht="13.15" customHeight="1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</row>
    <row r="290" spans="1:16" ht="13.15" customHeight="1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</row>
    <row r="291" spans="1:16" ht="13.15" customHeight="1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</row>
    <row r="292" spans="1:16" ht="13.15" customHeight="1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</row>
    <row r="293" spans="1:16" ht="13.15" customHeight="1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</row>
    <row r="294" spans="1:16" ht="13.15" customHeight="1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</row>
    <row r="295" spans="1:16" ht="13.15" customHeight="1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</row>
    <row r="296" spans="1:16" ht="13.15" customHeight="1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</row>
    <row r="297" spans="1:16" ht="13.15" customHeight="1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</row>
    <row r="298" spans="1:16" ht="13.15" customHeight="1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</row>
    <row r="299" spans="1:16" ht="13.15" customHeight="1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</row>
    <row r="300" spans="1:16" ht="13.15" customHeight="1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</row>
    <row r="301" spans="1:16" ht="13.15" customHeight="1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</row>
    <row r="302" spans="1:16" ht="13.15" customHeight="1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</row>
    <row r="303" spans="1:16" ht="13.15" customHeight="1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</row>
    <row r="304" spans="1:16" ht="13.15" customHeight="1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</row>
    <row r="305" spans="1:16" ht="13.15" customHeight="1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</row>
    <row r="306" spans="1:16" ht="13.15" customHeight="1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</row>
    <row r="307" spans="1:16" ht="13.15" customHeight="1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</row>
    <row r="308" spans="1:16" ht="13.15" customHeight="1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</row>
    <row r="309" spans="1:16" ht="13.15" customHeight="1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</row>
    <row r="310" spans="1:16" ht="13.15" customHeight="1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</row>
    <row r="311" spans="1:16" ht="13.15" customHeight="1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</row>
    <row r="312" spans="1:16" ht="13.15" customHeight="1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</row>
    <row r="313" spans="1:16" ht="13.15" customHeight="1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</row>
    <row r="314" spans="1:16" ht="13.15" customHeight="1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</row>
    <row r="315" spans="1:16" ht="13.15" customHeight="1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</row>
    <row r="316" spans="1:16" ht="13.15" customHeight="1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</row>
    <row r="317" spans="1:16" ht="13.15" customHeight="1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</row>
    <row r="318" spans="1:16" ht="13.15" customHeight="1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</row>
    <row r="319" spans="1:16" ht="13.15" customHeight="1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</row>
    <row r="320" spans="1:16" ht="13.15" customHeight="1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</row>
    <row r="321" spans="1:16" ht="13.15" customHeight="1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</row>
    <row r="322" spans="1:16" ht="13.15" customHeight="1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</row>
    <row r="323" spans="1:16" ht="13.15" customHeight="1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</row>
    <row r="324" spans="1:16" ht="13.15" customHeight="1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</row>
    <row r="325" spans="1:16" ht="13.15" customHeight="1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</row>
    <row r="326" spans="1:16" ht="13.15" customHeight="1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</row>
    <row r="327" spans="1:16" ht="13.15" customHeight="1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</row>
    <row r="328" spans="1:16" ht="13.15" customHeight="1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</row>
    <row r="329" spans="1:16" ht="13.15" customHeight="1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</row>
    <row r="330" spans="1:16" ht="13.15" customHeight="1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</row>
    <row r="331" spans="1:16" ht="13.15" customHeight="1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</row>
    <row r="332" spans="1:16" ht="13.15" customHeight="1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</row>
    <row r="333" spans="1:16" ht="13.15" customHeight="1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</row>
    <row r="334" spans="1:16" ht="13.15" customHeight="1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</row>
    <row r="335" spans="1:16" ht="13.15" customHeight="1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</row>
    <row r="336" spans="1:16" ht="13.15" customHeight="1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</row>
    <row r="337" spans="1:16" ht="13.15" customHeight="1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</row>
    <row r="338" spans="1:16" ht="13.15" customHeight="1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</row>
    <row r="339" spans="1:16" ht="13.15" customHeight="1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</row>
    <row r="340" spans="1:16" ht="13.15" customHeight="1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</row>
    <row r="341" spans="1:16" ht="13.15" customHeight="1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</row>
    <row r="342" spans="1:16" ht="13.15" customHeight="1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</row>
    <row r="343" spans="1:16" ht="13.15" customHeight="1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</row>
    <row r="344" spans="1:16" ht="13.15" customHeight="1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</row>
    <row r="345" spans="1:16" ht="13.15" customHeight="1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</row>
    <row r="346" spans="1:16" ht="13.15" customHeight="1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</row>
    <row r="347" spans="1:16" ht="13.15" customHeight="1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</row>
    <row r="348" spans="1:16" ht="13.15" customHeight="1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</row>
    <row r="349" spans="1:16" ht="13.15" customHeight="1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</row>
    <row r="350" spans="1:16" ht="13.15" customHeight="1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</row>
    <row r="351" spans="1:16" ht="13.15" customHeight="1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</row>
    <row r="352" spans="1:16" ht="13.15" customHeight="1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</row>
    <row r="353" spans="1:16" ht="13.15" customHeight="1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</row>
    <row r="354" spans="1:16" ht="13.15" customHeight="1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</row>
    <row r="355" spans="1:16" ht="13.15" customHeight="1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</row>
    <row r="356" spans="1:16" ht="13.15" customHeight="1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</row>
    <row r="357" spans="1:16" ht="13.15" customHeight="1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</row>
    <row r="358" spans="1:16" ht="13.15" customHeight="1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</row>
    <row r="359" spans="1:16" ht="13.15" customHeight="1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</row>
    <row r="360" spans="1:16" ht="13.15" customHeight="1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</row>
    <row r="361" spans="1:16" ht="13.15" customHeight="1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</row>
    <row r="362" spans="1:16" ht="13.15" customHeight="1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</row>
    <row r="363" spans="1:16" ht="13.15" customHeight="1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</row>
    <row r="364" spans="1:16" ht="13.15" customHeight="1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</row>
    <row r="365" spans="1:16" ht="13.15" customHeight="1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</row>
    <row r="366" spans="1:16" ht="13.15" customHeight="1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</row>
    <row r="367" spans="1:16" ht="13.15" customHeight="1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</row>
    <row r="368" spans="1:16" ht="13.15" customHeight="1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</row>
    <row r="369" spans="1:16" ht="13.15" customHeight="1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</row>
    <row r="370" spans="1:16" ht="13.15" customHeight="1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</row>
    <row r="371" spans="1:16" ht="13.15" customHeight="1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</row>
    <row r="372" spans="1:16" ht="13.15" customHeight="1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</row>
    <row r="373" spans="1:16" ht="13.15" customHeight="1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</row>
    <row r="374" spans="1:16" ht="13.15" customHeight="1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</row>
    <row r="375" spans="1:16" ht="13.15" customHeight="1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</row>
    <row r="376" spans="1:16" ht="13.15" customHeight="1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</row>
    <row r="377" spans="1:16" ht="13.15" customHeight="1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</row>
    <row r="378" spans="1:16" ht="13.15" customHeight="1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</row>
    <row r="379" spans="1:16" ht="13.15" customHeight="1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</row>
    <row r="380" spans="1:16" ht="13.15" customHeight="1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</row>
    <row r="381" spans="1:16" ht="13.15" customHeight="1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</row>
    <row r="382" spans="1:16" ht="13.15" customHeight="1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</row>
    <row r="383" spans="1:16" ht="13.15" customHeight="1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</row>
    <row r="384" spans="1:16" ht="13.15" customHeight="1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</row>
    <row r="385" spans="1:16" ht="13.15" customHeight="1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</row>
    <row r="386" spans="1:16" ht="13.15" customHeight="1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</row>
    <row r="387" spans="1:16" ht="13.15" customHeight="1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</row>
    <row r="388" spans="1:16" ht="13.15" customHeight="1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</row>
    <row r="389" spans="1:16" ht="13.15" customHeight="1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</row>
    <row r="390" spans="1:16" ht="13.15" customHeight="1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</row>
    <row r="391" spans="1:16" ht="13.15" customHeight="1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</row>
    <row r="392" spans="1:16" ht="13.15" customHeight="1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</row>
    <row r="393" spans="1:16" ht="13.15" customHeight="1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</row>
    <row r="394" spans="1:16" ht="13.15" customHeight="1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</row>
    <row r="395" spans="1:16" ht="13.15" customHeight="1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</row>
    <row r="396" spans="1:16" ht="13.15" customHeight="1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</row>
    <row r="397" spans="1:16" ht="13.15" customHeight="1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</row>
    <row r="398" spans="1:16" ht="13.15" customHeight="1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</row>
    <row r="399" spans="1:16" ht="13.15" customHeight="1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</row>
    <row r="400" spans="1:16" ht="13.15" customHeight="1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</row>
    <row r="401" spans="1:16" ht="13.15" customHeight="1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 Methods</vt:lpstr>
      <vt:lpstr>Power</vt:lpstr>
      <vt:lpstr>Algebra</vt:lpstr>
      <vt:lpstr>RGM</vt:lpstr>
      <vt:lpstr>ColNorm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2024-08-28T05:11:51Z</dcterms:modified>
</cp:coreProperties>
</file>