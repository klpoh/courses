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3" codeName="{3D1A710C-6663-3D7B-7F91-EC182F24A4BC}"/>
  <workbookPr filterPrivacy="1" codeName="ThisWorkbook" defaultThemeVersion="124226"/>
  <xr:revisionPtr revIDLastSave="0" documentId="13_ncr:1_{2E34DA38-6150-4358-BAAB-BE921CF2F42F}" xr6:coauthVersionLast="36" xr6:coauthVersionMax="36" xr10:uidLastSave="{00000000-0000-0000-0000-000000000000}"/>
  <bookViews>
    <workbookView xWindow="240" yWindow="110" windowWidth="14810" windowHeight="8010" xr2:uid="{00000000-000D-0000-FFFF-FFFF00000000}"/>
  </bookViews>
  <sheets>
    <sheet name="Ratings System (Algebra)" sheetId="12" r:id="rId1"/>
    <sheet name="Evaluation" sheetId="9" r:id="rId2"/>
    <sheet name="Sensitivity Analysis" sheetId="11" r:id="rId3"/>
  </sheets>
  <functionGroups builtInGroupCount="19"/>
  <definedNames>
    <definedName name="solver_adj" localSheetId="0" hidden="1">'Ratings System (Algebra)'!#REF!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'Ratings System (Algebra)'!#REF!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'Ratings System (Algebra)'!#REF!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 iterate="1" iterateCount="500" iterateDelta="1.0000000000000001E-5"/>
</workbook>
</file>

<file path=xl/calcChain.xml><?xml version="1.0" encoding="utf-8"?>
<calcChain xmlns="http://schemas.openxmlformats.org/spreadsheetml/2006/main">
  <c r="G10" i="11" l="1"/>
  <c r="F9" i="11"/>
  <c r="E8" i="11"/>
  <c r="D7" i="11"/>
  <c r="D51" i="12" l="1"/>
  <c r="C51" i="12"/>
  <c r="B51" i="12"/>
  <c r="C50" i="12"/>
  <c r="B50" i="12"/>
  <c r="B49" i="12"/>
  <c r="E41" i="12"/>
  <c r="D41" i="12"/>
  <c r="C41" i="12"/>
  <c r="B41" i="12"/>
  <c r="D40" i="12"/>
  <c r="C40" i="12"/>
  <c r="B40" i="12"/>
  <c r="C39" i="12"/>
  <c r="B39" i="12"/>
  <c r="B38" i="12"/>
  <c r="D30" i="12"/>
  <c r="C30" i="12"/>
  <c r="B30" i="12"/>
  <c r="C29" i="12"/>
  <c r="B29" i="12"/>
  <c r="B28" i="12"/>
  <c r="E21" i="12"/>
  <c r="D21" i="12"/>
  <c r="C21" i="12"/>
  <c r="B21" i="12"/>
  <c r="D20" i="12"/>
  <c r="C20" i="12"/>
  <c r="B20" i="12"/>
  <c r="C19" i="12"/>
  <c r="B19" i="12"/>
  <c r="B18" i="12"/>
  <c r="B9" i="12"/>
  <c r="E8" i="12"/>
  <c r="C8" i="12"/>
  <c r="B8" i="12"/>
  <c r="E7" i="12"/>
  <c r="C9" i="12" s="1"/>
  <c r="B7" i="12"/>
  <c r="G37" i="12" a="1"/>
  <c r="F27" i="12" a="1"/>
  <c r="G17" i="12" a="1"/>
  <c r="F6" i="12" a="1"/>
  <c r="F48" i="12" a="1"/>
  <c r="F49" i="12" l="1"/>
  <c r="F51" i="12"/>
  <c r="F52" i="12"/>
  <c r="F50" i="12"/>
  <c r="G50" i="12" s="1"/>
  <c r="F53" i="12"/>
  <c r="G53" i="12" s="1"/>
  <c r="F48" i="12"/>
  <c r="G48" i="12" s="1"/>
  <c r="F11" i="12"/>
  <c r="G11" i="12" s="1"/>
  <c r="F9" i="12"/>
  <c r="F6" i="12"/>
  <c r="F7" i="12"/>
  <c r="F10" i="12"/>
  <c r="F8" i="12"/>
  <c r="G18" i="12"/>
  <c r="G20" i="12"/>
  <c r="G22" i="12"/>
  <c r="G23" i="12"/>
  <c r="H23" i="12" s="1"/>
  <c r="G17" i="12"/>
  <c r="G19" i="12"/>
  <c r="G21" i="12"/>
  <c r="F28" i="12"/>
  <c r="F31" i="12"/>
  <c r="F29" i="12"/>
  <c r="F32" i="12"/>
  <c r="G32" i="12" s="1"/>
  <c r="F27" i="12"/>
  <c r="F30" i="12"/>
  <c r="G40" i="12"/>
  <c r="G41" i="12"/>
  <c r="G39" i="12"/>
  <c r="G38" i="12"/>
  <c r="G37" i="12"/>
  <c r="G43" i="12"/>
  <c r="H43" i="12" s="1"/>
  <c r="G42" i="12"/>
  <c r="D9" i="12"/>
  <c r="G51" i="12" l="1"/>
  <c r="G49" i="12"/>
  <c r="H37" i="12"/>
  <c r="H38" i="12"/>
  <c r="G28" i="12"/>
  <c r="H41" i="12"/>
  <c r="H40" i="12"/>
  <c r="H39" i="12"/>
  <c r="G27" i="12"/>
  <c r="H20" i="12"/>
  <c r="G30" i="12"/>
  <c r="G29" i="12"/>
  <c r="H21" i="12"/>
  <c r="H18" i="12"/>
  <c r="H19" i="12"/>
  <c r="H17" i="12"/>
  <c r="D9" i="9" l="1"/>
  <c r="D10" i="9"/>
  <c r="D7" i="9"/>
  <c r="D13" i="9" s="1"/>
  <c r="D6" i="9"/>
  <c r="D8" i="9"/>
  <c r="J8" i="9"/>
  <c r="J7" i="9"/>
  <c r="J9" i="9"/>
  <c r="J6" i="9"/>
  <c r="C8" i="11"/>
  <c r="F4" i="9"/>
  <c r="J4" i="9"/>
  <c r="C10" i="11"/>
  <c r="C7" i="11"/>
  <c r="D4" i="9"/>
  <c r="H4" i="9"/>
  <c r="C9" i="11"/>
  <c r="F8" i="9"/>
  <c r="F7" i="9"/>
  <c r="F9" i="9"/>
  <c r="H8" i="9"/>
  <c r="H10" i="9"/>
  <c r="H9" i="9"/>
  <c r="F6" i="9"/>
  <c r="H7" i="9"/>
  <c r="H6" i="9"/>
  <c r="F7" i="11" l="1"/>
  <c r="F8" i="11"/>
  <c r="F10" i="11"/>
  <c r="C11" i="11"/>
  <c r="G7" i="11"/>
  <c r="G8" i="11"/>
  <c r="G9" i="11"/>
  <c r="E7" i="11"/>
  <c r="E9" i="11"/>
  <c r="E10" i="11"/>
  <c r="J16" i="9"/>
  <c r="F19" i="11" s="1"/>
  <c r="H14" i="9"/>
  <c r="E17" i="11" s="1"/>
  <c r="F13" i="9"/>
  <c r="D16" i="11" s="1"/>
  <c r="H16" i="9"/>
  <c r="E19" i="11" s="1"/>
  <c r="H15" i="9"/>
  <c r="E18" i="11" s="1"/>
  <c r="H13" i="9"/>
  <c r="E16" i="11" s="1"/>
  <c r="H17" i="9"/>
  <c r="E20" i="11" s="1"/>
  <c r="F15" i="9"/>
  <c r="D18" i="11" s="1"/>
  <c r="F16" i="9"/>
  <c r="D19" i="11" s="1"/>
  <c r="D15" i="9"/>
  <c r="C18" i="11" s="1"/>
  <c r="D14" i="9"/>
  <c r="C17" i="11" s="1"/>
  <c r="D17" i="9"/>
  <c r="C20" i="11" s="1"/>
  <c r="J15" i="9"/>
  <c r="F18" i="11" s="1"/>
  <c r="J13" i="9"/>
  <c r="F16" i="11" s="1"/>
  <c r="G11" i="11" l="1"/>
  <c r="D9" i="11"/>
  <c r="D10" i="11"/>
  <c r="D8" i="11"/>
  <c r="E11" i="11"/>
  <c r="F11" i="11"/>
  <c r="K15" i="9"/>
  <c r="D16" i="9"/>
  <c r="J14" i="9"/>
  <c r="F17" i="11" s="1"/>
  <c r="J17" i="9"/>
  <c r="F20" i="11" s="1"/>
  <c r="F17" i="9"/>
  <c r="D20" i="11" s="1"/>
  <c r="F14" i="9"/>
  <c r="D17" i="11" s="1"/>
  <c r="D11" i="11" l="1"/>
  <c r="K16" i="9"/>
  <c r="C19" i="11"/>
  <c r="K13" i="9"/>
  <c r="C16" i="11"/>
  <c r="K17" i="9"/>
  <c r="K14" i="9"/>
  <c r="C103" i="11" l="1" a="1"/>
  <c r="C103" i="11" s="1"/>
  <c r="C77" i="11" a="1"/>
  <c r="F77" i="11" s="1"/>
  <c r="C51" i="11" a="1"/>
  <c r="D51" i="11" s="1"/>
  <c r="C25" i="11" a="1"/>
  <c r="C25" i="11" s="1"/>
  <c r="G16" i="11" a="1"/>
  <c r="D103" i="11" l="1"/>
  <c r="F103" i="11"/>
  <c r="G103" i="11"/>
  <c r="E103" i="11"/>
  <c r="D77" i="11"/>
  <c r="G77" i="11"/>
  <c r="C77" i="11"/>
  <c r="E77" i="11"/>
  <c r="C51" i="11"/>
  <c r="F51" i="11"/>
  <c r="E51" i="11"/>
  <c r="G51" i="11"/>
  <c r="F25" i="11"/>
  <c r="D25" i="11"/>
  <c r="G25" i="11"/>
  <c r="E25" i="11"/>
  <c r="G16" i="11"/>
  <c r="G20" i="11"/>
  <c r="G17" i="11"/>
  <c r="G18" i="11"/>
  <c r="G19" i="11"/>
</calcChain>
</file>

<file path=xl/sharedStrings.xml><?xml version="1.0" encoding="utf-8"?>
<sst xmlns="http://schemas.openxmlformats.org/spreadsheetml/2006/main" count="184" uniqueCount="55">
  <si>
    <t>w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</si>
  <si>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Times New Roman"/>
        <family val="1"/>
      </rPr>
      <t xml:space="preserve"> =</t>
    </r>
  </si>
  <si>
    <t>CR =</t>
  </si>
  <si>
    <t>Education</t>
  </si>
  <si>
    <t>Experience</t>
  </si>
  <si>
    <t>Dependability</t>
  </si>
  <si>
    <t>Quality</t>
  </si>
  <si>
    <t>Goal</t>
  </si>
  <si>
    <t>Exceptional</t>
  </si>
  <si>
    <t>Good</t>
  </si>
  <si>
    <t>Satisfactory</t>
  </si>
  <si>
    <t>Poor</t>
  </si>
  <si>
    <t>Excellent</t>
  </si>
  <si>
    <t>Meet Requirement</t>
  </si>
  <si>
    <t>Need Improvement</t>
  </si>
  <si>
    <t>Unsatisfactory</t>
  </si>
  <si>
    <t>Meet Req</t>
  </si>
  <si>
    <t>Need Improv</t>
  </si>
  <si>
    <t>Postgraduate</t>
  </si>
  <si>
    <t>Bachelor</t>
  </si>
  <si>
    <t>Diploma</t>
  </si>
  <si>
    <t>Below Dip</t>
  </si>
  <si>
    <t>&gt; 10 years</t>
  </si>
  <si>
    <t>5 - 10 years</t>
  </si>
  <si>
    <t>3 - 5 years</t>
  </si>
  <si>
    <t>1 - 3 years</t>
  </si>
  <si>
    <t>&lt; 1 year</t>
  </si>
  <si>
    <t>Goal: Value to Company</t>
  </si>
  <si>
    <t>Quality of Work</t>
  </si>
  <si>
    <t>John Lim</t>
  </si>
  <si>
    <t>Tan Ah Huay</t>
  </si>
  <si>
    <t>Chow Ah Beng</t>
  </si>
  <si>
    <t>Mary Lau</t>
  </si>
  <si>
    <t>Harry Lee</t>
  </si>
  <si>
    <t>Bachelor degree</t>
  </si>
  <si>
    <t>Rating</t>
  </si>
  <si>
    <t>Score</t>
  </si>
  <si>
    <t>Candidate</t>
  </si>
  <si>
    <t>Rating for Quality</t>
  </si>
  <si>
    <t>Rating for Education</t>
  </si>
  <si>
    <t>Rating for Experience</t>
  </si>
  <si>
    <t>Rating for Dependabilty</t>
  </si>
  <si>
    <t>Overall Rating</t>
  </si>
  <si>
    <t>Summary of Criteria Weights and Ratings Scores</t>
  </si>
  <si>
    <t>Criterion</t>
  </si>
  <si>
    <t>Criterion Base Weight</t>
  </si>
  <si>
    <t>Criterion's weight when the weight of this criterion is varied</t>
  </si>
  <si>
    <t>chksum</t>
  </si>
  <si>
    <t>Alternative's local wegiht under this criterion</t>
  </si>
  <si>
    <t>Alternative</t>
  </si>
  <si>
    <t>Overall Weight</t>
  </si>
  <si>
    <t>Sensitivty Analysis: Rainbow Diagrams</t>
  </si>
  <si>
    <t>Main Criteria</t>
  </si>
  <si>
    <t>Weight</t>
  </si>
  <si>
    <t>AHP Ratings Approach using UDF Algebra: Application to Employees Evaluation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</si>
</sst>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\ ???/???"/>
    <numFmt numFmtId="165" formatCode="0.00000"/>
    <numFmt numFmtId="166" formatCode="0.0000"/>
    <numFmt numFmtId="167" formatCode="0.0"/>
    <numFmt numFmtId="168" formatCode="0.0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0"/>
      <color theme="1"/>
      <name val="Symbol"/>
      <family val="1"/>
      <charset val="2"/>
    </font>
    <font>
      <b/>
      <sz val="11"/>
      <color theme="1"/>
      <name val="Arial"/>
      <family val="2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b/>
      <sz val="11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/>
    <xf numFmtId="0" fontId="2" fillId="3" borderId="1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7" borderId="1" xfId="0" applyNumberFormat="1" applyFont="1" applyFill="1" applyBorder="1" applyAlignment="1">
      <alignment horizontal="center" vertical="center"/>
    </xf>
    <xf numFmtId="164" fontId="2" fillId="7" borderId="1" xfId="0" applyNumberFormat="1" applyFont="1" applyFill="1" applyBorder="1" applyAlignment="1">
      <alignment horizontal="center" vertical="center"/>
    </xf>
    <xf numFmtId="0" fontId="2" fillId="7" borderId="2" xfId="0" applyNumberFormat="1" applyFont="1" applyFill="1" applyBorder="1" applyAlignment="1">
      <alignment horizontal="center" vertical="center"/>
    </xf>
    <xf numFmtId="164" fontId="2" fillId="7" borderId="2" xfId="0" applyNumberFormat="1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65" fontId="1" fillId="9" borderId="1" xfId="0" applyNumberFormat="1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" xfId="0" applyFont="1" applyFill="1" applyBorder="1"/>
    <xf numFmtId="0" fontId="2" fillId="11" borderId="1" xfId="0" applyFont="1" applyFill="1" applyBorder="1" applyAlignment="1">
      <alignment horizontal="center"/>
    </xf>
    <xf numFmtId="0" fontId="2" fillId="11" borderId="1" xfId="0" applyFont="1" applyFill="1" applyBorder="1"/>
    <xf numFmtId="165" fontId="2" fillId="11" borderId="1" xfId="0" applyNumberFormat="1" applyFont="1" applyFill="1" applyBorder="1" applyAlignment="1">
      <alignment horizontal="center"/>
    </xf>
    <xf numFmtId="0" fontId="0" fillId="12" borderId="1" xfId="0" applyFill="1" applyBorder="1"/>
    <xf numFmtId="0" fontId="5" fillId="13" borderId="1" xfId="0" applyFont="1" applyFill="1" applyBorder="1" applyAlignment="1">
      <alignment horizontal="left" vertical="center" wrapText="1"/>
    </xf>
    <xf numFmtId="165" fontId="2" fillId="10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0" fillId="3" borderId="1" xfId="0" applyFill="1" applyBorder="1"/>
    <xf numFmtId="165" fontId="9" fillId="9" borderId="1" xfId="0" applyNumberFormat="1" applyFont="1" applyFill="1" applyBorder="1" applyAlignment="1">
      <alignment horizontal="center"/>
    </xf>
    <xf numFmtId="165" fontId="9" fillId="11" borderId="1" xfId="0" applyNumberFormat="1" applyFont="1" applyFill="1" applyBorder="1" applyAlignment="1">
      <alignment horizontal="center"/>
    </xf>
    <xf numFmtId="165" fontId="6" fillId="9" borderId="1" xfId="0" applyNumberFormat="1" applyFont="1" applyFill="1" applyBorder="1" applyAlignment="1">
      <alignment horizontal="center"/>
    </xf>
    <xf numFmtId="165" fontId="6" fillId="11" borderId="1" xfId="0" applyNumberFormat="1" applyFont="1" applyFill="1" applyBorder="1" applyAlignment="1">
      <alignment horizontal="center"/>
    </xf>
    <xf numFmtId="0" fontId="9" fillId="9" borderId="1" xfId="0" applyFont="1" applyFill="1" applyBorder="1"/>
    <xf numFmtId="0" fontId="9" fillId="11" borderId="1" xfId="0" applyFont="1" applyFill="1" applyBorder="1"/>
    <xf numFmtId="0" fontId="6" fillId="13" borderId="1" xfId="0" applyFont="1" applyFill="1" applyBorder="1" applyAlignment="1">
      <alignment horizontal="left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/>
    </xf>
    <xf numFmtId="2" fontId="13" fillId="0" borderId="1" xfId="0" applyNumberFormat="1" applyFont="1" applyBorder="1" applyAlignment="1">
      <alignment horizontal="center"/>
    </xf>
    <xf numFmtId="165" fontId="11" fillId="0" borderId="0" xfId="0" applyNumberFormat="1" applyFont="1" applyBorder="1" applyAlignment="1">
      <alignment horizontal="center"/>
    </xf>
    <xf numFmtId="2" fontId="11" fillId="0" borderId="0" xfId="0" applyNumberFormat="1" applyFont="1" applyBorder="1" applyAlignment="1">
      <alignment horizontal="center"/>
    </xf>
    <xf numFmtId="0" fontId="11" fillId="4" borderId="5" xfId="0" applyFont="1" applyFill="1" applyBorder="1"/>
    <xf numFmtId="0" fontId="12" fillId="4" borderId="6" xfId="0" applyFont="1" applyFill="1" applyBorder="1" applyAlignment="1">
      <alignment horizontal="center"/>
    </xf>
    <xf numFmtId="0" fontId="10" fillId="0" borderId="0" xfId="0" applyFont="1"/>
    <xf numFmtId="166" fontId="11" fillId="0" borderId="0" xfId="0" applyNumberFormat="1" applyFont="1" applyAlignment="1">
      <alignment horizontal="center"/>
    </xf>
    <xf numFmtId="167" fontId="11" fillId="0" borderId="0" xfId="0" applyNumberFormat="1" applyFont="1" applyBorder="1" applyAlignment="1">
      <alignment horizontal="center"/>
    </xf>
    <xf numFmtId="0" fontId="11" fillId="0" borderId="0" xfId="0" applyFont="1" applyBorder="1"/>
    <xf numFmtId="165" fontId="2" fillId="4" borderId="6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2" fillId="14" borderId="1" xfId="0" applyNumberFormat="1" applyFont="1" applyFill="1" applyBorder="1" applyAlignment="1">
      <alignment horizontal="center" vertical="center"/>
    </xf>
    <xf numFmtId="166" fontId="2" fillId="14" borderId="6" xfId="0" applyNumberFormat="1" applyFont="1" applyFill="1" applyBorder="1" applyAlignment="1">
      <alignment horizontal="center" vertical="center"/>
    </xf>
    <xf numFmtId="166" fontId="5" fillId="11" borderId="6" xfId="0" applyNumberFormat="1" applyFont="1" applyFill="1" applyBorder="1" applyAlignment="1">
      <alignment horizontal="center" vertical="center"/>
    </xf>
    <xf numFmtId="166" fontId="5" fillId="11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66" fontId="2" fillId="6" borderId="1" xfId="0" applyNumberFormat="1" applyFont="1" applyFill="1" applyBorder="1" applyAlignment="1">
      <alignment horizontal="center" vertical="center"/>
    </xf>
    <xf numFmtId="167" fontId="2" fillId="14" borderId="1" xfId="0" applyNumberFormat="1" applyFont="1" applyFill="1" applyBorder="1" applyAlignment="1">
      <alignment horizontal="center" vertical="center"/>
    </xf>
    <xf numFmtId="166" fontId="2" fillId="4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7" fillId="5" borderId="0" xfId="0" applyFont="1" applyFill="1"/>
    <xf numFmtId="0" fontId="7" fillId="3" borderId="0" xfId="0" applyFont="1" applyFill="1"/>
    <xf numFmtId="0" fontId="16" fillId="3" borderId="0" xfId="0" applyFont="1" applyFill="1"/>
    <xf numFmtId="166" fontId="2" fillId="0" borderId="0" xfId="0" applyNumberFormat="1" applyFont="1" applyBorder="1" applyAlignment="1">
      <alignment horizontal="center"/>
    </xf>
    <xf numFmtId="166" fontId="2" fillId="14" borderId="1" xfId="0" applyNumberFormat="1" applyFont="1" applyFill="1" applyBorder="1" applyAlignment="1">
      <alignment horizontal="center"/>
    </xf>
    <xf numFmtId="0" fontId="2" fillId="8" borderId="2" xfId="0" applyFont="1" applyFill="1" applyBorder="1" applyAlignment="1">
      <alignment horizontal="left" vertical="center" wrapText="1"/>
    </xf>
    <xf numFmtId="1" fontId="1" fillId="9" borderId="1" xfId="0" applyNumberFormat="1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 wrapText="1"/>
    </xf>
    <xf numFmtId="168" fontId="2" fillId="14" borderId="1" xfId="0" applyNumberFormat="1" applyFont="1" applyFill="1" applyBorder="1" applyAlignment="1">
      <alignment horizontal="center"/>
    </xf>
    <xf numFmtId="168" fontId="2" fillId="0" borderId="1" xfId="0" applyNumberFormat="1" applyFont="1" applyBorder="1" applyAlignment="1">
      <alignment horizontal="center"/>
    </xf>
    <xf numFmtId="0" fontId="2" fillId="0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 vertical="center"/>
    </xf>
    <xf numFmtId="168" fontId="2" fillId="9" borderId="1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1" fillId="6" borderId="3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4" fillId="6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/>
    </xf>
    <xf numFmtId="0" fontId="14" fillId="6" borderId="2" xfId="0" applyFont="1" applyFill="1" applyBorder="1" applyAlignment="1">
      <alignment horizont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2" fillId="15" borderId="0" xfId="0" applyFont="1" applyFill="1"/>
    <xf numFmtId="0" fontId="4" fillId="15" borderId="0" xfId="0" applyFont="1" applyFill="1"/>
    <xf numFmtId="0" fontId="10" fillId="15" borderId="0" xfId="0" applyFont="1" applyFill="1" applyAlignment="1">
      <alignment vertical="center"/>
    </xf>
    <xf numFmtId="0" fontId="11" fillId="15" borderId="0" xfId="0" applyFont="1" applyFill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  <color rgb="FFCCECFF"/>
      <color rgb="FFFF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09317585301837E-2"/>
          <c:y val="4.3999399945191302E-2"/>
          <c:w val="0.89777596550431193"/>
          <c:h val="0.7493133653762824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'Sensitivity Analysis'!$C$24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Analysis'!$C$26:$C$36</c:f>
              <c:numCache>
                <c:formatCode>0.0000</c:formatCode>
                <c:ptCount val="11"/>
                <c:pt idx="0">
                  <c:v>0.43838136315452819</c:v>
                </c:pt>
                <c:pt idx="1">
                  <c:v>0.47334295333994258</c:v>
                </c:pt>
                <c:pt idx="2">
                  <c:v>0.50830454352535703</c:v>
                </c:pt>
                <c:pt idx="3">
                  <c:v>0.54326613371077148</c:v>
                </c:pt>
                <c:pt idx="4">
                  <c:v>0.57822772389618593</c:v>
                </c:pt>
                <c:pt idx="5">
                  <c:v>0.61318931408160027</c:v>
                </c:pt>
                <c:pt idx="6">
                  <c:v>0.6481509042670146</c:v>
                </c:pt>
                <c:pt idx="7">
                  <c:v>0.68311249445242916</c:v>
                </c:pt>
                <c:pt idx="8">
                  <c:v>0.71807408463784361</c:v>
                </c:pt>
                <c:pt idx="9">
                  <c:v>0.75303567482325795</c:v>
                </c:pt>
                <c:pt idx="10">
                  <c:v>0.7879972650086724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54-4C50-939D-466687CCFDD4}"/>
            </c:ext>
          </c:extLst>
        </c:ser>
        <c:ser>
          <c:idx val="1"/>
          <c:order val="1"/>
          <c:tx>
            <c:strRef>
              <c:f>'Sensitivity Analysis'!$D$24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Analysis'!$D$26:$D$36</c:f>
              <c:numCache>
                <c:formatCode>0.0000</c:formatCode>
                <c:ptCount val="11"/>
                <c:pt idx="0">
                  <c:v>0.44413539591983736</c:v>
                </c:pt>
                <c:pt idx="1">
                  <c:v>0.43151453594041567</c:v>
                </c:pt>
                <c:pt idx="2">
                  <c:v>0.41889367596099397</c:v>
                </c:pt>
                <c:pt idx="3">
                  <c:v>0.40627281598157222</c:v>
                </c:pt>
                <c:pt idx="4">
                  <c:v>0.39365195600215053</c:v>
                </c:pt>
                <c:pt idx="5">
                  <c:v>0.38103109602272889</c:v>
                </c:pt>
                <c:pt idx="6">
                  <c:v>0.36841023604330714</c:v>
                </c:pt>
                <c:pt idx="7">
                  <c:v>0.3557893760638855</c:v>
                </c:pt>
                <c:pt idx="8">
                  <c:v>0.3431685160844638</c:v>
                </c:pt>
                <c:pt idx="9">
                  <c:v>0.330547656105042</c:v>
                </c:pt>
                <c:pt idx="10">
                  <c:v>0.31792679612562036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54-4C50-939D-466687CCFDD4}"/>
            </c:ext>
          </c:extLst>
        </c:ser>
        <c:ser>
          <c:idx val="2"/>
          <c:order val="2"/>
          <c:tx>
            <c:strRef>
              <c:f>'Sensitivity Analysis'!$E$24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Analysis'!$E$26:$E$36</c:f>
              <c:numCache>
                <c:formatCode>0.0000</c:formatCode>
                <c:ptCount val="11"/>
                <c:pt idx="0">
                  <c:v>0.10511435497684246</c:v>
                </c:pt>
                <c:pt idx="1">
                  <c:v>0.10860871400884352</c:v>
                </c:pt>
                <c:pt idx="2">
                  <c:v>0.1121030730408446</c:v>
                </c:pt>
                <c:pt idx="3">
                  <c:v>0.11559743207284562</c:v>
                </c:pt>
                <c:pt idx="4">
                  <c:v>0.11909179110484668</c:v>
                </c:pt>
                <c:pt idx="5">
                  <c:v>0.12258615013684773</c:v>
                </c:pt>
                <c:pt idx="6">
                  <c:v>0.12608050916884878</c:v>
                </c:pt>
                <c:pt idx="7">
                  <c:v>0.12957486820084985</c:v>
                </c:pt>
                <c:pt idx="8">
                  <c:v>0.13306922723285089</c:v>
                </c:pt>
                <c:pt idx="9">
                  <c:v>0.13656358626485196</c:v>
                </c:pt>
                <c:pt idx="10">
                  <c:v>0.140057945296853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54-4C50-939D-466687CCFDD4}"/>
            </c:ext>
          </c:extLst>
        </c:ser>
        <c:ser>
          <c:idx val="3"/>
          <c:order val="3"/>
          <c:tx>
            <c:strRef>
              <c:f>'Sensitivity Analysis'!$F$24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Analysis'!$F$26:$F$36</c:f>
              <c:numCache>
                <c:formatCode>0.0000</c:formatCode>
                <c:ptCount val="11"/>
                <c:pt idx="0">
                  <c:v>0.74646952091166141</c:v>
                </c:pt>
                <c:pt idx="1">
                  <c:v>0.7506222953213626</c:v>
                </c:pt>
                <c:pt idx="2">
                  <c:v>0.75477506973106379</c:v>
                </c:pt>
                <c:pt idx="3">
                  <c:v>0.75892784414076475</c:v>
                </c:pt>
                <c:pt idx="4">
                  <c:v>0.76308061855046583</c:v>
                </c:pt>
                <c:pt idx="5">
                  <c:v>0.7672333929601669</c:v>
                </c:pt>
                <c:pt idx="6">
                  <c:v>0.77138616736986809</c:v>
                </c:pt>
                <c:pt idx="7">
                  <c:v>0.77553894177956906</c:v>
                </c:pt>
                <c:pt idx="8">
                  <c:v>0.77969171618927025</c:v>
                </c:pt>
                <c:pt idx="9">
                  <c:v>0.78384449059897132</c:v>
                </c:pt>
                <c:pt idx="10">
                  <c:v>0.7879972650086724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54-4C50-939D-466687CCFDD4}"/>
            </c:ext>
          </c:extLst>
        </c:ser>
        <c:ser>
          <c:idx val="4"/>
          <c:order val="4"/>
          <c:tx>
            <c:strRef>
              <c:f>'Sensitivity Analysis'!$G$24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Analysis'!$B$26:$B$36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Analysis'!$G$26:$G$36</c:f>
              <c:numCache>
                <c:formatCode>0.0000</c:formatCode>
                <c:ptCount val="11"/>
                <c:pt idx="0">
                  <c:v>0.41549407175951136</c:v>
                </c:pt>
                <c:pt idx="1">
                  <c:v>0.47394466458356022</c:v>
                </c:pt>
                <c:pt idx="2">
                  <c:v>0.53239525740760918</c:v>
                </c:pt>
                <c:pt idx="3">
                  <c:v>0.59084585023165792</c:v>
                </c:pt>
                <c:pt idx="4">
                  <c:v>0.64929644305570677</c:v>
                </c:pt>
                <c:pt idx="5">
                  <c:v>0.70774703587975563</c:v>
                </c:pt>
                <c:pt idx="6">
                  <c:v>0.76619762870380459</c:v>
                </c:pt>
                <c:pt idx="7">
                  <c:v>0.82464822152785344</c:v>
                </c:pt>
                <c:pt idx="8">
                  <c:v>0.88309881435190218</c:v>
                </c:pt>
                <c:pt idx="9">
                  <c:v>0.94154940717595115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54-4C50-939D-466687CCF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  <a:r>
                  <a:rPr lang="en-US" baseline="0"/>
                  <a:t> of Criterion Quality of Work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'Sensitivity Analysis'!$C$50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Analysis'!$C$52:$C$62</c:f>
              <c:numCache>
                <c:formatCode>0.0000</c:formatCode>
                <c:ptCount val="11"/>
                <c:pt idx="0">
                  <c:v>0.58743995428551077</c:v>
                </c:pt>
                <c:pt idx="1">
                  <c:v>0.62869595885695961</c:v>
                </c:pt>
                <c:pt idx="2">
                  <c:v>0.66995196342840868</c:v>
                </c:pt>
                <c:pt idx="3">
                  <c:v>0.71120796799985753</c:v>
                </c:pt>
                <c:pt idx="4">
                  <c:v>0.75246397257130637</c:v>
                </c:pt>
                <c:pt idx="5">
                  <c:v>0.79371997714275533</c:v>
                </c:pt>
                <c:pt idx="6">
                  <c:v>0.8349759817142044</c:v>
                </c:pt>
                <c:pt idx="7">
                  <c:v>0.87623198628565313</c:v>
                </c:pt>
                <c:pt idx="8">
                  <c:v>0.9174879908571022</c:v>
                </c:pt>
                <c:pt idx="9">
                  <c:v>0.95874399542855104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54-4A7C-885C-44FE1C37DF46}"/>
            </c:ext>
          </c:extLst>
        </c:ser>
        <c:ser>
          <c:idx val="1"/>
          <c:order val="1"/>
          <c:tx>
            <c:strRef>
              <c:f>'Sensitivity Analysis'!$D$50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Analysis'!$D$52:$D$62</c:f>
              <c:numCache>
                <c:formatCode>0.0000</c:formatCode>
                <c:ptCount val="11"/>
                <c:pt idx="0">
                  <c:v>0.39687341334457232</c:v>
                </c:pt>
                <c:pt idx="1">
                  <c:v>0.37640860550375338</c:v>
                </c:pt>
                <c:pt idx="2">
                  <c:v>0.35594379766293449</c:v>
                </c:pt>
                <c:pt idx="3">
                  <c:v>0.33547898982211549</c:v>
                </c:pt>
                <c:pt idx="4">
                  <c:v>0.3150141819812966</c:v>
                </c:pt>
                <c:pt idx="5">
                  <c:v>0.29454937414047766</c:v>
                </c:pt>
                <c:pt idx="6">
                  <c:v>0.27408456629965877</c:v>
                </c:pt>
                <c:pt idx="7">
                  <c:v>0.25361975845883983</c:v>
                </c:pt>
                <c:pt idx="8">
                  <c:v>0.23315495061802091</c:v>
                </c:pt>
                <c:pt idx="9">
                  <c:v>0.21269014277720194</c:v>
                </c:pt>
                <c:pt idx="10">
                  <c:v>0.19222533493638305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54-4A7C-885C-44FE1C37DF46}"/>
            </c:ext>
          </c:extLst>
        </c:ser>
        <c:ser>
          <c:idx val="2"/>
          <c:order val="2"/>
          <c:tx>
            <c:strRef>
              <c:f>'Sensitivity Analysis'!$E$50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Analysis'!$E$52:$E$62</c:f>
              <c:numCache>
                <c:formatCode>0.0000</c:formatCode>
                <c:ptCount val="11"/>
                <c:pt idx="0">
                  <c:v>0.13101418846757787</c:v>
                </c:pt>
                <c:pt idx="1">
                  <c:v>0.12577489832656918</c:v>
                </c:pt>
                <c:pt idx="2">
                  <c:v>0.12053560818556053</c:v>
                </c:pt>
                <c:pt idx="3">
                  <c:v>0.11529631804455179</c:v>
                </c:pt>
                <c:pt idx="4">
                  <c:v>0.11005702790354313</c:v>
                </c:pt>
                <c:pt idx="5">
                  <c:v>0.10481773776253445</c:v>
                </c:pt>
                <c:pt idx="6">
                  <c:v>9.9578447621525762E-2</c:v>
                </c:pt>
                <c:pt idx="7">
                  <c:v>9.4339157480517077E-2</c:v>
                </c:pt>
                <c:pt idx="8">
                  <c:v>8.9099867339508407E-2</c:v>
                </c:pt>
                <c:pt idx="9">
                  <c:v>8.3860577198499708E-2</c:v>
                </c:pt>
                <c:pt idx="10">
                  <c:v>7.8621287057491038E-2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54-4A7C-885C-44FE1C37DF46}"/>
            </c:ext>
          </c:extLst>
        </c:ser>
        <c:ser>
          <c:idx val="3"/>
          <c:order val="3"/>
          <c:tx>
            <c:strRef>
              <c:f>'Sensitivity Analysis'!$F$50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Analysis'!$F$52:$F$62</c:f>
              <c:numCache>
                <c:formatCode>0.0000</c:formatCode>
                <c:ptCount val="11"/>
                <c:pt idx="0">
                  <c:v>0.80947360248076861</c:v>
                </c:pt>
                <c:pt idx="1">
                  <c:v>0.77582330459238003</c:v>
                </c:pt>
                <c:pt idx="2">
                  <c:v>0.74217300670399167</c:v>
                </c:pt>
                <c:pt idx="3">
                  <c:v>0.70852270881560298</c:v>
                </c:pt>
                <c:pt idx="4">
                  <c:v>0.67487241092721462</c:v>
                </c:pt>
                <c:pt idx="5">
                  <c:v>0.64122211303882615</c:v>
                </c:pt>
                <c:pt idx="6">
                  <c:v>0.60757181515043768</c:v>
                </c:pt>
                <c:pt idx="7">
                  <c:v>0.5739215172620491</c:v>
                </c:pt>
                <c:pt idx="8">
                  <c:v>0.54027121937366063</c:v>
                </c:pt>
                <c:pt idx="9">
                  <c:v>0.50662092148527216</c:v>
                </c:pt>
                <c:pt idx="10">
                  <c:v>0.47297062359688363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54-4A7C-885C-44FE1C37DF46}"/>
            </c:ext>
          </c:extLst>
        </c:ser>
        <c:ser>
          <c:idx val="4"/>
          <c:order val="4"/>
          <c:tx>
            <c:strRef>
              <c:f>'Sensitivity Analysis'!$G$50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Analysis'!$B$52:$B$62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Analysis'!$G$52:$G$62</c:f>
              <c:numCache>
                <c:formatCode>0.0000</c:formatCode>
                <c:ptCount val="11"/>
                <c:pt idx="0">
                  <c:v>0.81944634796016147</c:v>
                </c:pt>
                <c:pt idx="1">
                  <c:v>0.75672424665778371</c:v>
                </c:pt>
                <c:pt idx="2">
                  <c:v>0.69400214535540583</c:v>
                </c:pt>
                <c:pt idx="3">
                  <c:v>0.63128004405302796</c:v>
                </c:pt>
                <c:pt idx="4">
                  <c:v>0.56855794275065019</c:v>
                </c:pt>
                <c:pt idx="5">
                  <c:v>0.50583584144827221</c:v>
                </c:pt>
                <c:pt idx="6">
                  <c:v>0.44311374014589444</c:v>
                </c:pt>
                <c:pt idx="7">
                  <c:v>0.38039163884351662</c:v>
                </c:pt>
                <c:pt idx="8">
                  <c:v>0.31766953754113869</c:v>
                </c:pt>
                <c:pt idx="9">
                  <c:v>0.25494743623876087</c:v>
                </c:pt>
                <c:pt idx="10">
                  <c:v>0.19222533493638305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54-4A7C-885C-44FE1C37D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Education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'Sensitivity Analysis'!$C$76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Analysis'!$C$78:$C$88</c:f>
              <c:numCache>
                <c:formatCode>0.0000</c:formatCode>
                <c:ptCount val="11"/>
                <c:pt idx="0">
                  <c:v>0.65021206469424886</c:v>
                </c:pt>
                <c:pt idx="1">
                  <c:v>0.62435618192063225</c:v>
                </c:pt>
                <c:pt idx="2">
                  <c:v>0.59850029914701575</c:v>
                </c:pt>
                <c:pt idx="3">
                  <c:v>0.57264441637339902</c:v>
                </c:pt>
                <c:pt idx="4">
                  <c:v>0.54678853359978252</c:v>
                </c:pt>
                <c:pt idx="5">
                  <c:v>0.52093265082616591</c:v>
                </c:pt>
                <c:pt idx="6">
                  <c:v>0.4950767680525493</c:v>
                </c:pt>
                <c:pt idx="7">
                  <c:v>0.46922088527893274</c:v>
                </c:pt>
                <c:pt idx="8">
                  <c:v>0.44336500250531607</c:v>
                </c:pt>
                <c:pt idx="9">
                  <c:v>0.41750911973169952</c:v>
                </c:pt>
                <c:pt idx="10">
                  <c:v>0.39165323695808291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DB-430A-BAE3-A1DDCEC93C8C}"/>
            </c:ext>
          </c:extLst>
        </c:ser>
        <c:ser>
          <c:idx val="1"/>
          <c:order val="1"/>
          <c:tx>
            <c:strRef>
              <c:f>'Sensitivity Analysis'!$D$76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Analysis'!$D$78:$D$88</c:f>
              <c:numCache>
                <c:formatCode>0.0000</c:formatCode>
                <c:ptCount val="11"/>
                <c:pt idx="0">
                  <c:v>0.33612366552023865</c:v>
                </c:pt>
                <c:pt idx="1">
                  <c:v>0.40251129896821475</c:v>
                </c:pt>
                <c:pt idx="2">
                  <c:v>0.46889893241619091</c:v>
                </c:pt>
                <c:pt idx="3">
                  <c:v>0.53528656586416701</c:v>
                </c:pt>
                <c:pt idx="4">
                  <c:v>0.60167419931214317</c:v>
                </c:pt>
                <c:pt idx="5">
                  <c:v>0.66806183276011932</c:v>
                </c:pt>
                <c:pt idx="6">
                  <c:v>0.73444946620809537</c:v>
                </c:pt>
                <c:pt idx="7">
                  <c:v>0.80083709965607153</c:v>
                </c:pt>
                <c:pt idx="8">
                  <c:v>0.86722473310404768</c:v>
                </c:pt>
                <c:pt idx="9">
                  <c:v>0.93361236655202395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DB-430A-BAE3-A1DDCEC93C8C}"/>
            </c:ext>
          </c:extLst>
        </c:ser>
        <c:ser>
          <c:idx val="2"/>
          <c:order val="2"/>
          <c:tx>
            <c:strRef>
              <c:f>'Sensitivity Analysis'!$E$76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Analysis'!$E$78:$E$88</c:f>
              <c:numCache>
                <c:formatCode>0.0000</c:formatCode>
                <c:ptCount val="11"/>
                <c:pt idx="0">
                  <c:v>0.11741560033811556</c:v>
                </c:pt>
                <c:pt idx="1">
                  <c:v>0.130876997643605</c:v>
                </c:pt>
                <c:pt idx="2">
                  <c:v>0.14433839494909442</c:v>
                </c:pt>
                <c:pt idx="3">
                  <c:v>0.15779979225458385</c:v>
                </c:pt>
                <c:pt idx="4">
                  <c:v>0.1712611895600733</c:v>
                </c:pt>
                <c:pt idx="5">
                  <c:v>0.1847225868655627</c:v>
                </c:pt>
                <c:pt idx="6">
                  <c:v>0.19818398417105212</c:v>
                </c:pt>
                <c:pt idx="7">
                  <c:v>0.21164538147654155</c:v>
                </c:pt>
                <c:pt idx="8">
                  <c:v>0.225106778782031</c:v>
                </c:pt>
                <c:pt idx="9">
                  <c:v>0.23856817608752046</c:v>
                </c:pt>
                <c:pt idx="10">
                  <c:v>0.25202957339300985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DB-430A-BAE3-A1DDCEC93C8C}"/>
            </c:ext>
          </c:extLst>
        </c:ser>
        <c:ser>
          <c:idx val="3"/>
          <c:order val="3"/>
          <c:tx>
            <c:strRef>
              <c:f>'Sensitivity Analysis'!$F$76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Analysis'!$F$78:$F$88</c:f>
              <c:numCache>
                <c:formatCode>0.0000</c:formatCode>
                <c:ptCount val="11"/>
                <c:pt idx="0">
                  <c:v>0.80765442415037747</c:v>
                </c:pt>
                <c:pt idx="1">
                  <c:v>0.7394243127204605</c:v>
                </c:pt>
                <c:pt idx="2">
                  <c:v>0.67119420129054386</c:v>
                </c:pt>
                <c:pt idx="3">
                  <c:v>0.60296408986062699</c:v>
                </c:pt>
                <c:pt idx="4">
                  <c:v>0.53473397843071024</c:v>
                </c:pt>
                <c:pt idx="5">
                  <c:v>0.46650386700079355</c:v>
                </c:pt>
                <c:pt idx="6">
                  <c:v>0.39827375557087669</c:v>
                </c:pt>
                <c:pt idx="7">
                  <c:v>0.33004364414095999</c:v>
                </c:pt>
                <c:pt idx="8">
                  <c:v>0.26181353271104313</c:v>
                </c:pt>
                <c:pt idx="9">
                  <c:v>0.19358342128112635</c:v>
                </c:pt>
                <c:pt idx="10">
                  <c:v>0.1253533098512096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DB-430A-BAE3-A1DDCEC93C8C}"/>
            </c:ext>
          </c:extLst>
        </c:ser>
        <c:ser>
          <c:idx val="4"/>
          <c:order val="4"/>
          <c:tx>
            <c:strRef>
              <c:f>'Sensitivity Analysis'!$G$76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Analysis'!$B$78:$B$88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Analysis'!$G$78:$G$88</c:f>
              <c:numCache>
                <c:formatCode>0.0000</c:formatCode>
                <c:ptCount val="11"/>
                <c:pt idx="0">
                  <c:v>0.74405381977071261</c:v>
                </c:pt>
                <c:pt idx="1">
                  <c:v>0.74711320013537907</c:v>
                </c:pt>
                <c:pt idx="2">
                  <c:v>0.75017258050004565</c:v>
                </c:pt>
                <c:pt idx="3">
                  <c:v>0.75323196086471211</c:v>
                </c:pt>
                <c:pt idx="4">
                  <c:v>0.75629134122937858</c:v>
                </c:pt>
                <c:pt idx="5">
                  <c:v>0.75935072159404515</c:v>
                </c:pt>
                <c:pt idx="6">
                  <c:v>0.76241010195871173</c:v>
                </c:pt>
                <c:pt idx="7">
                  <c:v>0.76546948232337819</c:v>
                </c:pt>
                <c:pt idx="8">
                  <c:v>0.76852886268804466</c:v>
                </c:pt>
                <c:pt idx="9">
                  <c:v>0.77158824305271123</c:v>
                </c:pt>
                <c:pt idx="10">
                  <c:v>0.7746476234173777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DB-430A-BAE3-A1DDCEC93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Experience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'Sensitivity Analysis'!$C$102</c:f>
              <c:strCache>
                <c:ptCount val="1"/>
                <c:pt idx="0">
                  <c:v>John Lim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Analysis'!$C$104:$C$114</c:f>
              <c:numCache>
                <c:formatCode>0.0000</c:formatCode>
                <c:ptCount val="11"/>
                <c:pt idx="0">
                  <c:v>0.79206225992036372</c:v>
                </c:pt>
                <c:pt idx="1">
                  <c:v>0.73251076147011385</c:v>
                </c:pt>
                <c:pt idx="2">
                  <c:v>0.6729592630198642</c:v>
                </c:pt>
                <c:pt idx="3">
                  <c:v>0.6134077645696141</c:v>
                </c:pt>
                <c:pt idx="4">
                  <c:v>0.55385626611936434</c:v>
                </c:pt>
                <c:pt idx="5">
                  <c:v>0.49430476766911446</c:v>
                </c:pt>
                <c:pt idx="6">
                  <c:v>0.4347532692188647</c:v>
                </c:pt>
                <c:pt idx="7">
                  <c:v>0.37520177076861483</c:v>
                </c:pt>
                <c:pt idx="8">
                  <c:v>0.31565027231836496</c:v>
                </c:pt>
                <c:pt idx="9">
                  <c:v>0.25609877386811508</c:v>
                </c:pt>
                <c:pt idx="10">
                  <c:v>0.19654727541786526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F-4B60-B489-7B263A08C8F5}"/>
            </c:ext>
          </c:extLst>
        </c:ser>
        <c:ser>
          <c:idx val="1"/>
          <c:order val="1"/>
          <c:tx>
            <c:strRef>
              <c:f>'Sensitivity Analysis'!$D$102</c:f>
              <c:strCache>
                <c:ptCount val="1"/>
                <c:pt idx="0">
                  <c:v>Tan Ah Huay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Analysis'!$D$104:$D$114</c:f>
              <c:numCache>
                <c:formatCode>0.0000</c:formatCode>
                <c:ptCount val="11"/>
                <c:pt idx="0">
                  <c:v>0.3490169740266259</c:v>
                </c:pt>
                <c:pt idx="1">
                  <c:v>0.358097565510272</c:v>
                </c:pt>
                <c:pt idx="2">
                  <c:v>0.3671781569939182</c:v>
                </c:pt>
                <c:pt idx="3">
                  <c:v>0.37625874847756435</c:v>
                </c:pt>
                <c:pt idx="4">
                  <c:v>0.3853393399612105</c:v>
                </c:pt>
                <c:pt idx="5">
                  <c:v>0.39441993144485665</c:v>
                </c:pt>
                <c:pt idx="6">
                  <c:v>0.4035005229285028</c:v>
                </c:pt>
                <c:pt idx="7">
                  <c:v>0.41258111441214895</c:v>
                </c:pt>
                <c:pt idx="8">
                  <c:v>0.4216617058957951</c:v>
                </c:pt>
                <c:pt idx="9">
                  <c:v>0.43074229737944125</c:v>
                </c:pt>
                <c:pt idx="10">
                  <c:v>0.4398228888630874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B60-B489-7B263A08C8F5}"/>
            </c:ext>
          </c:extLst>
        </c:ser>
        <c:ser>
          <c:idx val="2"/>
          <c:order val="2"/>
          <c:tx>
            <c:strRef>
              <c:f>'Sensitivity Analysis'!$E$102</c:f>
              <c:strCache>
                <c:ptCount val="1"/>
                <c:pt idx="0">
                  <c:v>Chow Ah Beng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Analysis'!$E$104:$E$114</c:f>
              <c:numCache>
                <c:formatCode>0.0000</c:formatCode>
                <c:ptCount val="11"/>
                <c:pt idx="0">
                  <c:v>0.13866371415038059</c:v>
                </c:pt>
                <c:pt idx="1">
                  <c:v>0.13339832483191622</c:v>
                </c:pt>
                <c:pt idx="2">
                  <c:v>0.12813293551345187</c:v>
                </c:pt>
                <c:pt idx="3">
                  <c:v>0.12286754619498749</c:v>
                </c:pt>
                <c:pt idx="4">
                  <c:v>0.11760215687652315</c:v>
                </c:pt>
                <c:pt idx="5">
                  <c:v>0.11233676755805874</c:v>
                </c:pt>
                <c:pt idx="6">
                  <c:v>0.10707137823959438</c:v>
                </c:pt>
                <c:pt idx="7">
                  <c:v>0.10180598892113002</c:v>
                </c:pt>
                <c:pt idx="8">
                  <c:v>9.6540599602665644E-2</c:v>
                </c:pt>
                <c:pt idx="9">
                  <c:v>9.1275210284201283E-2</c:v>
                </c:pt>
                <c:pt idx="10">
                  <c:v>8.6009820965736908E-2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4F-4B60-B489-7B263A08C8F5}"/>
            </c:ext>
          </c:extLst>
        </c:ser>
        <c:ser>
          <c:idx val="3"/>
          <c:order val="3"/>
          <c:tx>
            <c:strRef>
              <c:f>'Sensitivity Analysis'!$F$102</c:f>
              <c:strCache>
                <c:ptCount val="1"/>
                <c:pt idx="0">
                  <c:v>Mary Lau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Analysis'!$F$104:$F$114</c:f>
              <c:numCache>
                <c:formatCode>0.0000</c:formatCode>
                <c:ptCount val="11"/>
                <c:pt idx="0">
                  <c:v>0.68817117969868935</c:v>
                </c:pt>
                <c:pt idx="1">
                  <c:v>0.71935406172882033</c:v>
                </c:pt>
                <c:pt idx="2">
                  <c:v>0.75053694375895152</c:v>
                </c:pt>
                <c:pt idx="3">
                  <c:v>0.78171982578908239</c:v>
                </c:pt>
                <c:pt idx="4">
                  <c:v>0.81290270781921359</c:v>
                </c:pt>
                <c:pt idx="5">
                  <c:v>0.84408558984934468</c:v>
                </c:pt>
                <c:pt idx="6">
                  <c:v>0.87526847187947576</c:v>
                </c:pt>
                <c:pt idx="7">
                  <c:v>0.90645135390960674</c:v>
                </c:pt>
                <c:pt idx="8">
                  <c:v>0.93763423593973783</c:v>
                </c:pt>
                <c:pt idx="9">
                  <c:v>0.96881711796986891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4F-4B60-B489-7B263A08C8F5}"/>
            </c:ext>
          </c:extLst>
        </c:ser>
        <c:ser>
          <c:idx val="4"/>
          <c:order val="4"/>
          <c:tx>
            <c:strRef>
              <c:f>'Sensitivity Analysis'!$G$102</c:f>
              <c:strCache>
                <c:ptCount val="1"/>
                <c:pt idx="0">
                  <c:v>Harry Lee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'Sensitivity Analysis'!$B$104:$B$114</c:f>
              <c:numCache>
                <c:formatCode>0.0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'Sensitivity Analysis'!$G$104:$G$114</c:f>
              <c:numCache>
                <c:formatCode>0.0000</c:formatCode>
                <c:ptCount val="11"/>
                <c:pt idx="0">
                  <c:v>0.85446483007698992</c:v>
                </c:pt>
                <c:pt idx="1">
                  <c:v>0.81300063595559968</c:v>
                </c:pt>
                <c:pt idx="2">
                  <c:v>0.77153644183420955</c:v>
                </c:pt>
                <c:pt idx="3">
                  <c:v>0.73007224771281909</c:v>
                </c:pt>
                <c:pt idx="4">
                  <c:v>0.68860805359142896</c:v>
                </c:pt>
                <c:pt idx="5">
                  <c:v>0.64714385947003872</c:v>
                </c:pt>
                <c:pt idx="6">
                  <c:v>0.60567966534864848</c:v>
                </c:pt>
                <c:pt idx="7">
                  <c:v>0.56421547122725824</c:v>
                </c:pt>
                <c:pt idx="8">
                  <c:v>0.52275127710586788</c:v>
                </c:pt>
                <c:pt idx="9">
                  <c:v>0.48128708298447764</c:v>
                </c:pt>
                <c:pt idx="10">
                  <c:v>0.4398228888630874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4F-4B60-B489-7B263A08C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154824"/>
        <c:axId val="387157448"/>
      </c:scatterChart>
      <c:valAx>
        <c:axId val="38715482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Weight of Criterion Dependability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7448"/>
        <c:crosses val="autoZero"/>
        <c:crossBetween val="midCat"/>
        <c:majorUnit val="0.1"/>
        <c:minorUnit val="5.000000000000001E-2"/>
      </c:valAx>
      <c:valAx>
        <c:axId val="3871574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154824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244366</xdr:colOff>
      <xdr:row>20</xdr:row>
      <xdr:rowOff>141890</xdr:rowOff>
    </xdr:from>
    <xdr:to>
      <xdr:col>15</xdr:col>
      <xdr:colOff>402022</xdr:colOff>
      <xdr:row>46</xdr:row>
      <xdr:rowOff>72258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262757</xdr:colOff>
      <xdr:row>47</xdr:row>
      <xdr:rowOff>36786</xdr:rowOff>
    </xdr:from>
    <xdr:to>
      <xdr:col>15</xdr:col>
      <xdr:colOff>420412</xdr:colOff>
      <xdr:row>72</xdr:row>
      <xdr:rowOff>80141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291662</xdr:colOff>
      <xdr:row>73</xdr:row>
      <xdr:rowOff>137948</xdr:rowOff>
    </xdr:from>
    <xdr:to>
      <xdr:col>15</xdr:col>
      <xdr:colOff>449317</xdr:colOff>
      <xdr:row>99</xdr:row>
      <xdr:rowOff>17079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379687</xdr:colOff>
      <xdr:row>100</xdr:row>
      <xdr:rowOff>30218</xdr:rowOff>
    </xdr:from>
    <xdr:to>
      <xdr:col>15</xdr:col>
      <xdr:colOff>537342</xdr:colOff>
      <xdr:row>125</xdr:row>
      <xdr:rowOff>51238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tabSelected="1" zoomScaleNormal="100" workbookViewId="0"/>
  </sheetViews>
  <sheetFormatPr defaultRowHeight="14.5" x14ac:dyDescent="0.35"/>
  <cols>
    <col min="1" max="1" width="15.54296875" customWidth="1"/>
    <col min="2" max="2" width="11.54296875" customWidth="1"/>
    <col min="3" max="3" width="10.81640625" customWidth="1"/>
    <col min="4" max="4" width="11.54296875" customWidth="1"/>
    <col min="5" max="5" width="12.453125" customWidth="1"/>
    <col min="6" max="6" width="11" customWidth="1"/>
    <col min="7" max="7" width="11.81640625" customWidth="1"/>
    <col min="8" max="8" width="11.453125" customWidth="1"/>
    <col min="9" max="9" width="9.453125" customWidth="1"/>
    <col min="10" max="10" width="10.453125" customWidth="1"/>
    <col min="11" max="11" width="8.81640625" customWidth="1"/>
    <col min="12" max="12" width="11.1796875" customWidth="1"/>
    <col min="13" max="13" width="11.81640625" customWidth="1"/>
  </cols>
  <sheetData>
    <row r="1" spans="1:16" ht="21" customHeight="1" x14ac:dyDescent="0.35">
      <c r="A1" s="92" t="s">
        <v>54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3"/>
      <c r="M1" s="4"/>
      <c r="N1" s="4"/>
      <c r="O1" s="4"/>
    </row>
    <row r="2" spans="1:16" ht="15.5" x14ac:dyDescent="0.35">
      <c r="A2" s="39"/>
      <c r="B2" s="39"/>
      <c r="C2" s="39"/>
      <c r="D2" s="39"/>
      <c r="E2" s="39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15.5" x14ac:dyDescent="0.35">
      <c r="A3" s="65" t="s">
        <v>27</v>
      </c>
      <c r="B3" s="65"/>
      <c r="C3" s="65"/>
      <c r="D3" s="65"/>
      <c r="E3" s="65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O4" s="4"/>
    </row>
    <row r="5" spans="1:16" ht="15.75" customHeight="1" x14ac:dyDescent="0.35">
      <c r="A5" s="15" t="s">
        <v>7</v>
      </c>
      <c r="B5" s="16" t="s">
        <v>6</v>
      </c>
      <c r="C5" s="13" t="s">
        <v>3</v>
      </c>
      <c r="D5" s="13" t="s">
        <v>4</v>
      </c>
      <c r="E5" s="13" t="s">
        <v>5</v>
      </c>
      <c r="F5" s="63" t="s">
        <v>0</v>
      </c>
      <c r="G5" s="1"/>
    </row>
    <row r="6" spans="1:16" x14ac:dyDescent="0.35">
      <c r="A6" s="14" t="s">
        <v>28</v>
      </c>
      <c r="B6" s="11">
        <v>1</v>
      </c>
      <c r="C6" s="2">
        <v>5</v>
      </c>
      <c r="D6" s="2">
        <v>7</v>
      </c>
      <c r="E6" s="2">
        <v>3</v>
      </c>
      <c r="F6" s="73">
        <f t="array" ref="F6:F11">ahpmat_algebra(B6:E9)</f>
        <v>0.56500905379903787</v>
      </c>
      <c r="G6" s="1"/>
    </row>
    <row r="7" spans="1:16" x14ac:dyDescent="0.35">
      <c r="A7" s="14" t="s">
        <v>3</v>
      </c>
      <c r="B7" s="12">
        <f>1/C6</f>
        <v>0.2</v>
      </c>
      <c r="C7" s="9">
        <v>1</v>
      </c>
      <c r="D7" s="2">
        <v>3</v>
      </c>
      <c r="E7" s="3">
        <f>1/3</f>
        <v>0.33333333333333331</v>
      </c>
      <c r="F7" s="73">
        <v>0.11750425004139527</v>
      </c>
      <c r="G7" s="1"/>
    </row>
    <row r="8" spans="1:16" x14ac:dyDescent="0.35">
      <c r="A8" s="14" t="s">
        <v>4</v>
      </c>
      <c r="B8" s="12">
        <f>1/D6</f>
        <v>0.14285714285714285</v>
      </c>
      <c r="C8" s="10">
        <f>1/D7</f>
        <v>0.33333333333333331</v>
      </c>
      <c r="D8" s="9">
        <v>1</v>
      </c>
      <c r="E8" s="3">
        <f>1/5</f>
        <v>0.2</v>
      </c>
      <c r="F8" s="73">
        <v>5.528549059867964E-2</v>
      </c>
      <c r="G8" s="1"/>
    </row>
    <row r="9" spans="1:16" ht="15.75" customHeight="1" x14ac:dyDescent="0.35">
      <c r="A9" s="14" t="s">
        <v>5</v>
      </c>
      <c r="B9" s="12">
        <f>1/E6</f>
        <v>0.33333333333333331</v>
      </c>
      <c r="C9" s="9">
        <f>1/E7</f>
        <v>3</v>
      </c>
      <c r="D9" s="9">
        <f>1/E8</f>
        <v>5</v>
      </c>
      <c r="E9" s="9">
        <v>1</v>
      </c>
      <c r="F9" s="73">
        <v>0.26220120556088722</v>
      </c>
      <c r="G9" s="1"/>
    </row>
    <row r="10" spans="1:16" x14ac:dyDescent="0.35">
      <c r="A10" s="4"/>
      <c r="B10" s="5"/>
      <c r="C10" s="6"/>
      <c r="E10" s="75" t="s">
        <v>1</v>
      </c>
      <c r="F10" s="74">
        <v>4.1169824434473412</v>
      </c>
      <c r="G10" s="64"/>
    </row>
    <row r="11" spans="1:16" x14ac:dyDescent="0.35">
      <c r="A11" s="1"/>
      <c r="B11" s="7"/>
      <c r="C11" s="8"/>
      <c r="D11" s="4"/>
      <c r="E11" s="76" t="s">
        <v>2</v>
      </c>
      <c r="F11" s="74">
        <v>4.332683090642267E-2</v>
      </c>
      <c r="G11" s="4" t="str">
        <f>IF(F11&lt;= 0.1, "&lt; 0.1", "&gt; 0.1")</f>
        <v>&lt; 0.1</v>
      </c>
      <c r="H11" s="4"/>
      <c r="I11" s="4"/>
      <c r="J11" s="4"/>
      <c r="K11" s="4"/>
      <c r="L11" s="1"/>
      <c r="M11" s="1"/>
      <c r="N11" s="1"/>
      <c r="O11" s="1"/>
    </row>
    <row r="12" spans="1:16" x14ac:dyDescent="0.35">
      <c r="A12" s="1"/>
      <c r="B12" s="7"/>
      <c r="C12" s="8"/>
      <c r="E12" s="4"/>
      <c r="G12" s="4"/>
      <c r="H12" s="4"/>
      <c r="I12" s="4"/>
      <c r="J12" s="4"/>
      <c r="K12" s="4"/>
      <c r="L12" s="1"/>
      <c r="M12" s="1"/>
      <c r="N12" s="1"/>
      <c r="O12" s="1"/>
    </row>
    <row r="13" spans="1:16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6" ht="15.5" x14ac:dyDescent="0.35">
      <c r="A14" s="66" t="s">
        <v>52</v>
      </c>
      <c r="B14" s="67"/>
      <c r="C14" s="67"/>
      <c r="D14" s="67"/>
      <c r="E14" s="67"/>
      <c r="F14" s="67"/>
      <c r="G14" s="1"/>
      <c r="H14" s="1"/>
      <c r="I14" s="1"/>
      <c r="J14" s="1"/>
      <c r="K14" s="1"/>
    </row>
    <row r="15" spans="1:16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6" ht="16.149999999999999" customHeight="1" x14ac:dyDescent="0.35">
      <c r="A16" s="15" t="s">
        <v>6</v>
      </c>
      <c r="B16" s="13" t="s">
        <v>12</v>
      </c>
      <c r="C16" s="13" t="s">
        <v>9</v>
      </c>
      <c r="D16" s="13" t="s">
        <v>16</v>
      </c>
      <c r="E16" s="13" t="s">
        <v>17</v>
      </c>
      <c r="F16" s="72" t="s">
        <v>15</v>
      </c>
      <c r="G16" s="63" t="s">
        <v>53</v>
      </c>
      <c r="H16" s="63" t="s">
        <v>35</v>
      </c>
      <c r="J16" s="4"/>
      <c r="K16" s="4"/>
      <c r="L16" s="4"/>
      <c r="M16" s="4"/>
      <c r="N16" s="4"/>
      <c r="O16" s="4"/>
      <c r="P16" s="4"/>
    </row>
    <row r="17" spans="1:16" x14ac:dyDescent="0.35">
      <c r="A17" s="14" t="s">
        <v>12</v>
      </c>
      <c r="B17" s="9">
        <v>1</v>
      </c>
      <c r="C17" s="2">
        <v>1</v>
      </c>
      <c r="D17" s="2">
        <v>5</v>
      </c>
      <c r="E17" s="2">
        <v>7</v>
      </c>
      <c r="F17" s="2">
        <v>9</v>
      </c>
      <c r="G17" s="77">
        <f t="array" ref="G17:G23">ahpmat_algebra(B17:F21)</f>
        <v>0.42874707682519458</v>
      </c>
      <c r="H17" s="69">
        <f>G17/MAX(G17:G21)</f>
        <v>1</v>
      </c>
      <c r="J17" s="4"/>
      <c r="K17" s="4"/>
      <c r="L17" s="4"/>
      <c r="M17" s="4"/>
      <c r="N17" s="4"/>
      <c r="O17" s="4"/>
      <c r="P17" s="4"/>
    </row>
    <row r="18" spans="1:16" x14ac:dyDescent="0.35">
      <c r="A18" s="14" t="s">
        <v>9</v>
      </c>
      <c r="B18" s="9">
        <f>1/C17</f>
        <v>1</v>
      </c>
      <c r="C18" s="9">
        <v>1</v>
      </c>
      <c r="D18" s="2">
        <v>3</v>
      </c>
      <c r="E18" s="2">
        <v>5</v>
      </c>
      <c r="F18" s="2">
        <v>7</v>
      </c>
      <c r="G18" s="77">
        <v>0.33785152391871648</v>
      </c>
      <c r="H18" s="69">
        <f>G18/MAX(G17:G21)</f>
        <v>0.7879972650086724</v>
      </c>
      <c r="J18" s="4"/>
      <c r="K18" s="4"/>
      <c r="L18" s="4"/>
      <c r="M18" s="4"/>
      <c r="N18" s="4"/>
      <c r="O18" s="4"/>
      <c r="P18" s="4"/>
    </row>
    <row r="19" spans="1:16" ht="14.5" customHeight="1" x14ac:dyDescent="0.35">
      <c r="A19" s="14" t="s">
        <v>13</v>
      </c>
      <c r="B19" s="10">
        <f>1/D17</f>
        <v>0.2</v>
      </c>
      <c r="C19" s="10">
        <f>1/D18</f>
        <v>0.33333333333333331</v>
      </c>
      <c r="D19" s="9">
        <v>1</v>
      </c>
      <c r="E19" s="2">
        <v>3</v>
      </c>
      <c r="F19" s="2">
        <v>5</v>
      </c>
      <c r="G19" s="77">
        <v>0.13631018448325932</v>
      </c>
      <c r="H19" s="69">
        <f>G19/MAX(G17:G21)</f>
        <v>0.31792679612562036</v>
      </c>
      <c r="J19" s="4"/>
      <c r="K19" s="4"/>
      <c r="L19" s="4"/>
      <c r="M19" s="4"/>
      <c r="N19" s="4"/>
      <c r="O19" s="4"/>
      <c r="P19" s="4"/>
    </row>
    <row r="20" spans="1:16" ht="15" customHeight="1" x14ac:dyDescent="0.35">
      <c r="A20" s="14" t="s">
        <v>14</v>
      </c>
      <c r="B20" s="10">
        <f>1/E17</f>
        <v>0.14285714285714285</v>
      </c>
      <c r="C20" s="10">
        <f>1/E18</f>
        <v>0.2</v>
      </c>
      <c r="D20" s="10">
        <f>1/E19</f>
        <v>0.33333333333333331</v>
      </c>
      <c r="E20" s="9">
        <v>1</v>
      </c>
      <c r="F20" s="2">
        <v>2</v>
      </c>
      <c r="G20" s="77">
        <v>6.004943463216874E-2</v>
      </c>
      <c r="H20" s="69">
        <f>G20/MAX(G17:G21)</f>
        <v>0.140057945296853</v>
      </c>
      <c r="J20" s="4"/>
      <c r="K20" s="4"/>
      <c r="L20" s="4"/>
      <c r="M20" s="4"/>
      <c r="N20" s="4"/>
      <c r="O20" s="4"/>
      <c r="P20" s="4"/>
    </row>
    <row r="21" spans="1:16" x14ac:dyDescent="0.35">
      <c r="A21" s="14" t="s">
        <v>15</v>
      </c>
      <c r="B21" s="10">
        <f>1/F17</f>
        <v>0.1111111111111111</v>
      </c>
      <c r="C21" s="10">
        <f>1/F18</f>
        <v>0.14285714285714285</v>
      </c>
      <c r="D21" s="10">
        <f>1/F19</f>
        <v>0.2</v>
      </c>
      <c r="E21" s="10">
        <f>1/F20</f>
        <v>0.5</v>
      </c>
      <c r="F21" s="9">
        <v>1</v>
      </c>
      <c r="G21" s="77">
        <v>3.7041780140660903E-2</v>
      </c>
      <c r="H21" s="69">
        <f>G21/MAX(G17:G21)</f>
        <v>8.6395411520819046E-2</v>
      </c>
      <c r="J21" s="4"/>
      <c r="K21" s="4"/>
      <c r="L21" s="4"/>
      <c r="M21" s="4"/>
      <c r="N21" s="4"/>
      <c r="O21" s="4"/>
      <c r="P21" s="4"/>
    </row>
    <row r="22" spans="1:16" x14ac:dyDescent="0.35">
      <c r="F22" s="75" t="s">
        <v>1</v>
      </c>
      <c r="G22" s="74">
        <v>5.1355955664021167</v>
      </c>
      <c r="H22" s="68"/>
      <c r="I22" s="68"/>
      <c r="K22" s="4"/>
      <c r="L22" s="4"/>
      <c r="M22" s="4"/>
      <c r="N22" s="4"/>
      <c r="O22" s="4"/>
      <c r="P22" s="4"/>
    </row>
    <row r="23" spans="1:16" x14ac:dyDescent="0.35">
      <c r="F23" s="76" t="s">
        <v>2</v>
      </c>
      <c r="G23" s="74">
        <v>3.0266867500472468E-2</v>
      </c>
      <c r="H23" s="4" t="str">
        <f>IF(G23&lt;= 0.1, "&lt; 0.1", "&gt; 0.1")</f>
        <v>&lt; 0.1</v>
      </c>
      <c r="I23" s="68"/>
      <c r="K23" s="4"/>
      <c r="L23" s="4"/>
      <c r="M23" s="4"/>
      <c r="N23" s="4"/>
      <c r="O23" s="4"/>
      <c r="P23" s="4"/>
    </row>
    <row r="24" spans="1:16" x14ac:dyDescent="0.35">
      <c r="G24" s="4"/>
      <c r="H24" s="68"/>
      <c r="I24" s="68"/>
      <c r="K24" s="4"/>
      <c r="L24" s="4"/>
      <c r="M24" s="4"/>
      <c r="N24" s="4"/>
      <c r="O24" s="4"/>
      <c r="P24" s="4"/>
    </row>
    <row r="25" spans="1:16" x14ac:dyDescent="0.35">
      <c r="H25" s="68"/>
      <c r="I25" s="68"/>
      <c r="K25" s="4"/>
      <c r="L25" s="4"/>
      <c r="M25" s="4"/>
      <c r="N25" s="4"/>
      <c r="O25" s="4"/>
      <c r="P25" s="4"/>
    </row>
    <row r="26" spans="1:16" ht="15" x14ac:dyDescent="0.35">
      <c r="A26" s="15" t="s">
        <v>3</v>
      </c>
      <c r="B26" s="13" t="s">
        <v>18</v>
      </c>
      <c r="C26" s="13" t="s">
        <v>19</v>
      </c>
      <c r="D26" s="13" t="s">
        <v>20</v>
      </c>
      <c r="E26" s="13" t="s">
        <v>21</v>
      </c>
      <c r="F26" s="63" t="s">
        <v>53</v>
      </c>
      <c r="G26" s="63" t="s">
        <v>35</v>
      </c>
      <c r="K26" s="4"/>
      <c r="L26" s="4"/>
      <c r="M26" s="4"/>
      <c r="N26" s="4"/>
      <c r="O26" s="4"/>
      <c r="P26" s="4"/>
    </row>
    <row r="27" spans="1:16" x14ac:dyDescent="0.35">
      <c r="A27" s="14" t="s">
        <v>18</v>
      </c>
      <c r="B27" s="11">
        <v>1</v>
      </c>
      <c r="C27" s="2">
        <v>3</v>
      </c>
      <c r="D27" s="2">
        <v>5</v>
      </c>
      <c r="E27" s="2">
        <v>9</v>
      </c>
      <c r="F27" s="77">
        <f t="array" ref="F27:F32">ahpmat_algebra(B27:E30)</f>
        <v>0.57345458793259452</v>
      </c>
      <c r="G27" s="69">
        <f>F27/MAX(F27:F30)</f>
        <v>1</v>
      </c>
      <c r="K27" s="4"/>
      <c r="L27" s="4"/>
      <c r="M27" s="4"/>
      <c r="N27" s="4"/>
      <c r="O27" s="4"/>
      <c r="P27" s="4"/>
    </row>
    <row r="28" spans="1:16" x14ac:dyDescent="0.35">
      <c r="A28" s="14" t="s">
        <v>19</v>
      </c>
      <c r="B28" s="12">
        <f>1/C27</f>
        <v>0.33333333333333331</v>
      </c>
      <c r="C28" s="9">
        <v>1</v>
      </c>
      <c r="D28" s="2">
        <v>3</v>
      </c>
      <c r="E28" s="2">
        <v>7</v>
      </c>
      <c r="F28" s="77">
        <v>0.27122717405897317</v>
      </c>
      <c r="G28" s="69">
        <f>F28/MAX(F27:F30)</f>
        <v>0.47297062359688363</v>
      </c>
      <c r="K28" s="4"/>
      <c r="L28" s="4"/>
      <c r="M28" s="4"/>
      <c r="N28" s="4"/>
      <c r="O28" s="4"/>
      <c r="P28" s="4"/>
    </row>
    <row r="29" spans="1:16" x14ac:dyDescent="0.35">
      <c r="A29" s="14" t="s">
        <v>20</v>
      </c>
      <c r="B29" s="12">
        <f>1/D27</f>
        <v>0.2</v>
      </c>
      <c r="C29" s="10">
        <f>1/D28</f>
        <v>0.33333333333333331</v>
      </c>
      <c r="D29" s="9">
        <v>1</v>
      </c>
      <c r="E29" s="2">
        <v>3</v>
      </c>
      <c r="F29" s="77">
        <v>0.11023250023614851</v>
      </c>
      <c r="G29" s="69">
        <f>F29/MAX(F27:F30)</f>
        <v>0.19222533493638305</v>
      </c>
      <c r="K29" s="4"/>
      <c r="L29" s="4"/>
      <c r="M29" s="4"/>
      <c r="N29" s="4"/>
      <c r="O29" s="4"/>
      <c r="P29" s="4"/>
    </row>
    <row r="30" spans="1:16" x14ac:dyDescent="0.35">
      <c r="A30" s="14" t="s">
        <v>21</v>
      </c>
      <c r="B30" s="12">
        <f>1/E27</f>
        <v>0.1111111111111111</v>
      </c>
      <c r="C30" s="10">
        <f>1/E28</f>
        <v>0.14285714285714285</v>
      </c>
      <c r="D30" s="10">
        <f>1/E29</f>
        <v>0.33333333333333331</v>
      </c>
      <c r="E30" s="9">
        <v>1</v>
      </c>
      <c r="F30" s="77">
        <v>4.5085737772283752E-2</v>
      </c>
      <c r="G30" s="69">
        <f>F30/MAX(F27:F30)</f>
        <v>7.8621287057491038E-2</v>
      </c>
      <c r="K30" s="4"/>
      <c r="L30" s="4"/>
      <c r="M30" s="4"/>
      <c r="N30" s="4"/>
      <c r="O30" s="4"/>
      <c r="P30" s="4"/>
    </row>
    <row r="31" spans="1:16" x14ac:dyDescent="0.35">
      <c r="A31" s="4"/>
      <c r="B31" s="5"/>
      <c r="C31" s="6"/>
      <c r="E31" s="75" t="s">
        <v>1</v>
      </c>
      <c r="F31" s="74">
        <v>4.0876301289899857</v>
      </c>
      <c r="K31" s="4"/>
      <c r="L31" s="4"/>
      <c r="M31" s="4"/>
      <c r="N31" s="4"/>
      <c r="O31" s="4"/>
      <c r="P31" s="4"/>
    </row>
    <row r="32" spans="1:16" x14ac:dyDescent="0.35">
      <c r="A32" s="4"/>
      <c r="B32" s="5"/>
      <c r="C32" s="6"/>
      <c r="E32" s="76" t="s">
        <v>2</v>
      </c>
      <c r="F32" s="74">
        <v>3.2455603329624327E-2</v>
      </c>
      <c r="G32" s="4" t="str">
        <f>IF(F32&lt;= 0.1, "&lt; 0.1", "&gt; 0.1")</f>
        <v>&lt; 0.1</v>
      </c>
      <c r="K32" s="4"/>
      <c r="L32" s="4"/>
      <c r="M32" s="4"/>
      <c r="N32" s="4"/>
      <c r="O32" s="4"/>
      <c r="P32" s="4"/>
    </row>
    <row r="33" spans="1:17" x14ac:dyDescent="0.35">
      <c r="A33" s="4"/>
      <c r="B33" s="5"/>
      <c r="C33" s="6"/>
      <c r="F33" s="4"/>
      <c r="K33" s="4"/>
      <c r="L33" s="4"/>
      <c r="M33" s="4"/>
      <c r="N33" s="4"/>
      <c r="O33" s="4"/>
      <c r="P33" s="4"/>
    </row>
    <row r="34" spans="1:17" x14ac:dyDescent="0.35">
      <c r="A34" s="4"/>
      <c r="B34" s="5"/>
      <c r="C34" s="6"/>
      <c r="D34" s="5"/>
      <c r="E34" s="5"/>
      <c r="F34" s="4"/>
      <c r="K34" s="4"/>
      <c r="L34" s="4"/>
      <c r="M34" s="4"/>
      <c r="N34" s="4"/>
      <c r="O34" s="4"/>
      <c r="P34" s="4"/>
    </row>
    <row r="35" spans="1:17" x14ac:dyDescent="0.35">
      <c r="A35" s="1"/>
      <c r="B35" s="1"/>
      <c r="C35" s="1"/>
      <c r="D35" s="1"/>
      <c r="E35" s="1"/>
      <c r="F35" s="1"/>
      <c r="G35" s="1"/>
      <c r="H35" s="1"/>
      <c r="I35" s="1"/>
      <c r="J35" s="1"/>
      <c r="K35" s="4"/>
      <c r="L35" s="4"/>
      <c r="M35" s="4"/>
      <c r="N35" s="4"/>
      <c r="O35" s="4"/>
      <c r="P35" s="4"/>
    </row>
    <row r="36" spans="1:17" ht="18.75" customHeight="1" x14ac:dyDescent="0.35">
      <c r="A36" s="15" t="s">
        <v>4</v>
      </c>
      <c r="B36" s="13" t="s">
        <v>22</v>
      </c>
      <c r="C36" s="13" t="s">
        <v>23</v>
      </c>
      <c r="D36" s="13" t="s">
        <v>24</v>
      </c>
      <c r="E36" s="13" t="s">
        <v>25</v>
      </c>
      <c r="F36" s="13" t="s">
        <v>26</v>
      </c>
      <c r="G36" s="63" t="s">
        <v>53</v>
      </c>
      <c r="H36" s="63" t="s">
        <v>35</v>
      </c>
      <c r="K36" s="4"/>
      <c r="L36" s="4"/>
      <c r="M36" s="4"/>
      <c r="N36" s="4"/>
      <c r="O36" s="4"/>
      <c r="P36" s="4"/>
      <c r="Q36" s="1"/>
    </row>
    <row r="37" spans="1:17" x14ac:dyDescent="0.35">
      <c r="A37" s="14" t="s">
        <v>22</v>
      </c>
      <c r="B37" s="9">
        <v>1</v>
      </c>
      <c r="C37" s="2">
        <v>1</v>
      </c>
      <c r="D37" s="2">
        <v>3</v>
      </c>
      <c r="E37" s="2">
        <v>5</v>
      </c>
      <c r="F37" s="2">
        <v>7</v>
      </c>
      <c r="G37" s="77">
        <f t="array" ref="G37:G43">ahpmat_algebra(B37:F41)</f>
        <v>0.3931306328895246</v>
      </c>
      <c r="H37" s="69">
        <f>G37/MAX(G37:G41)</f>
        <v>1</v>
      </c>
      <c r="K37" s="4"/>
      <c r="L37" s="4"/>
      <c r="M37" s="4"/>
      <c r="N37" s="4"/>
      <c r="O37" s="4"/>
      <c r="P37" s="4"/>
      <c r="Q37" s="1"/>
    </row>
    <row r="38" spans="1:17" x14ac:dyDescent="0.35">
      <c r="A38" s="14" t="s">
        <v>23</v>
      </c>
      <c r="B38" s="9">
        <f>1/C37</f>
        <v>1</v>
      </c>
      <c r="C38" s="9">
        <v>1</v>
      </c>
      <c r="D38" s="2">
        <v>2</v>
      </c>
      <c r="E38" s="2">
        <v>3</v>
      </c>
      <c r="F38" s="2">
        <v>5</v>
      </c>
      <c r="G38" s="77">
        <v>0.30453771046043981</v>
      </c>
      <c r="H38" s="69">
        <f>G38/MAX(G37:G41)</f>
        <v>0.7746476234173777</v>
      </c>
      <c r="K38" s="4"/>
      <c r="L38" s="4"/>
      <c r="M38" s="4"/>
      <c r="N38" s="4"/>
      <c r="O38" s="4"/>
      <c r="P38" s="4"/>
      <c r="Q38" s="1"/>
    </row>
    <row r="39" spans="1:17" x14ac:dyDescent="0.35">
      <c r="A39" s="14" t="s">
        <v>24</v>
      </c>
      <c r="B39" s="10">
        <f>1/D37</f>
        <v>0.33333333333333331</v>
      </c>
      <c r="C39" s="10">
        <f>1/D38</f>
        <v>0.5</v>
      </c>
      <c r="D39" s="9">
        <v>1</v>
      </c>
      <c r="E39" s="2">
        <v>2</v>
      </c>
      <c r="F39" s="2">
        <v>3</v>
      </c>
      <c r="G39" s="77">
        <v>0.15397088491856209</v>
      </c>
      <c r="H39" s="69">
        <f>G39/MAX(G37:G41)</f>
        <v>0.39165323695808291</v>
      </c>
      <c r="K39" s="4"/>
      <c r="L39" s="4"/>
      <c r="M39" s="4"/>
      <c r="N39" s="4"/>
      <c r="O39" s="4"/>
      <c r="P39" s="4"/>
      <c r="Q39" s="1"/>
    </row>
    <row r="40" spans="1:17" x14ac:dyDescent="0.35">
      <c r="A40" s="14" t="s">
        <v>25</v>
      </c>
      <c r="B40" s="10">
        <f>1/E37</f>
        <v>0.2</v>
      </c>
      <c r="C40" s="10">
        <f>1/E38</f>
        <v>0.33333333333333331</v>
      </c>
      <c r="D40" s="10">
        <f>1/E39</f>
        <v>0.5</v>
      </c>
      <c r="E40" s="9">
        <v>1</v>
      </c>
      <c r="F40" s="2">
        <v>3</v>
      </c>
      <c r="G40" s="77">
        <v>9.9080545694870861E-2</v>
      </c>
      <c r="H40" s="69">
        <f>G40/MAX(G37:G41)</f>
        <v>0.25202957339300985</v>
      </c>
      <c r="K40" s="4"/>
      <c r="L40" s="4"/>
      <c r="M40" s="4"/>
      <c r="N40" s="4"/>
      <c r="O40" s="4"/>
      <c r="P40" s="4"/>
      <c r="Q40" s="1"/>
    </row>
    <row r="41" spans="1:17" x14ac:dyDescent="0.35">
      <c r="A41" s="14" t="s">
        <v>26</v>
      </c>
      <c r="B41" s="10">
        <f>1/F37</f>
        <v>0.14285714285714285</v>
      </c>
      <c r="C41" s="10">
        <f>1/F38</f>
        <v>0.2</v>
      </c>
      <c r="D41" s="10">
        <f>1/F39</f>
        <v>0.33333333333333331</v>
      </c>
      <c r="E41" s="10">
        <f>1/F40</f>
        <v>0.33333333333333331</v>
      </c>
      <c r="F41" s="9">
        <v>1</v>
      </c>
      <c r="G41" s="77">
        <v>4.928022603660271E-2</v>
      </c>
      <c r="H41" s="69">
        <f>G41/MAX(G37:G41)</f>
        <v>0.1253533098512096</v>
      </c>
      <c r="K41" s="4"/>
      <c r="L41" s="4"/>
      <c r="M41" s="4"/>
      <c r="N41" s="4"/>
      <c r="O41" s="4"/>
      <c r="P41" s="4"/>
      <c r="Q41" s="1"/>
    </row>
    <row r="42" spans="1:17" x14ac:dyDescent="0.35">
      <c r="A42" s="4"/>
      <c r="B42" s="5"/>
      <c r="C42" s="6"/>
      <c r="D42" s="5"/>
      <c r="F42" s="75" t="s">
        <v>1</v>
      </c>
      <c r="G42" s="74">
        <v>5.0872283702151435</v>
      </c>
      <c r="K42" s="4"/>
      <c r="L42" s="4"/>
      <c r="M42" s="4"/>
      <c r="N42" s="4"/>
      <c r="O42" s="4"/>
      <c r="P42" s="4"/>
    </row>
    <row r="43" spans="1:17" x14ac:dyDescent="0.35">
      <c r="A43" s="4"/>
      <c r="B43" s="5"/>
      <c r="C43" s="6"/>
      <c r="D43" s="5"/>
      <c r="F43" s="76" t="s">
        <v>2</v>
      </c>
      <c r="G43" s="74">
        <v>1.9470618351594533E-2</v>
      </c>
      <c r="H43" s="4" t="str">
        <f>IF(G43&lt;= 0.1, "&lt; 0.1", "&gt; 0.1")</f>
        <v>&lt; 0.1</v>
      </c>
      <c r="K43" s="4"/>
      <c r="L43" s="4"/>
      <c r="M43" s="4"/>
      <c r="N43" s="4"/>
      <c r="O43" s="4"/>
      <c r="P43" s="4"/>
    </row>
    <row r="44" spans="1:17" x14ac:dyDescent="0.35">
      <c r="A44" s="4"/>
      <c r="B44" s="5"/>
      <c r="C44" s="6"/>
      <c r="D44" s="5"/>
      <c r="G44" s="4"/>
      <c r="K44" s="4"/>
      <c r="L44" s="4"/>
      <c r="M44" s="4"/>
      <c r="N44" s="4"/>
      <c r="O44" s="4"/>
      <c r="P44" s="4"/>
    </row>
    <row r="45" spans="1:17" x14ac:dyDescent="0.35">
      <c r="A45" s="4"/>
      <c r="B45" s="5"/>
      <c r="C45" s="6"/>
      <c r="D45" s="5"/>
      <c r="G45" s="4"/>
      <c r="K45" s="4"/>
      <c r="L45" s="4"/>
      <c r="M45" s="4"/>
      <c r="N45" s="4"/>
      <c r="O45" s="4"/>
      <c r="P45" s="4"/>
    </row>
    <row r="46" spans="1:17" x14ac:dyDescent="0.35">
      <c r="K46" s="4"/>
      <c r="L46" s="4"/>
      <c r="M46" s="4"/>
      <c r="N46" s="4"/>
      <c r="O46" s="4"/>
      <c r="P46" s="4"/>
    </row>
    <row r="47" spans="1:17" ht="15" x14ac:dyDescent="0.35">
      <c r="A47" s="15" t="s">
        <v>5</v>
      </c>
      <c r="B47" s="16" t="s">
        <v>8</v>
      </c>
      <c r="C47" s="16" t="s">
        <v>9</v>
      </c>
      <c r="D47" s="16" t="s">
        <v>10</v>
      </c>
      <c r="E47" s="16" t="s">
        <v>11</v>
      </c>
      <c r="F47" s="63" t="s">
        <v>53</v>
      </c>
      <c r="G47" s="63" t="s">
        <v>35</v>
      </c>
      <c r="K47" s="4"/>
      <c r="L47" s="4"/>
      <c r="M47" s="4"/>
      <c r="N47" s="4"/>
      <c r="O47" s="4"/>
      <c r="P47" s="4"/>
    </row>
    <row r="48" spans="1:17" x14ac:dyDescent="0.35">
      <c r="A48" s="70" t="s">
        <v>8</v>
      </c>
      <c r="B48" s="11">
        <v>1</v>
      </c>
      <c r="C48" s="2">
        <v>3</v>
      </c>
      <c r="D48" s="2">
        <v>5</v>
      </c>
      <c r="E48" s="2">
        <v>9</v>
      </c>
      <c r="F48" s="77">
        <f t="array" ref="F48:F53">ahpmat_algebra(B48:E51)</f>
        <v>0.58059197654736683</v>
      </c>
      <c r="G48" s="69">
        <f>F48/MAX(F48:F51)</f>
        <v>1</v>
      </c>
      <c r="K48" s="4"/>
      <c r="L48" s="4"/>
      <c r="M48" s="4"/>
      <c r="N48" s="4"/>
      <c r="O48" s="4"/>
      <c r="P48" s="4"/>
    </row>
    <row r="49" spans="1:16" x14ac:dyDescent="0.35">
      <c r="A49" s="70" t="s">
        <v>9</v>
      </c>
      <c r="B49" s="12">
        <f>1/C48</f>
        <v>0.33333333333333331</v>
      </c>
      <c r="C49" s="9">
        <v>1</v>
      </c>
      <c r="D49" s="2">
        <v>3</v>
      </c>
      <c r="E49" s="2">
        <v>5</v>
      </c>
      <c r="F49" s="77">
        <v>0.25535764037579278</v>
      </c>
      <c r="G49" s="69">
        <f>F49/MAX(F48:F51)</f>
        <v>0.4398228888630874</v>
      </c>
      <c r="K49" s="4"/>
      <c r="L49" s="4"/>
      <c r="M49" s="4"/>
      <c r="N49" s="4"/>
      <c r="O49" s="4"/>
      <c r="P49" s="4"/>
    </row>
    <row r="50" spans="1:16" x14ac:dyDescent="0.35">
      <c r="A50" s="70" t="s">
        <v>10</v>
      </c>
      <c r="B50" s="12">
        <f>1/D48</f>
        <v>0.2</v>
      </c>
      <c r="C50" s="10">
        <f>1/D49</f>
        <v>0.33333333333333331</v>
      </c>
      <c r="D50" s="9">
        <v>1</v>
      </c>
      <c r="E50" s="2">
        <v>3</v>
      </c>
      <c r="F50" s="77">
        <v>0.11411377111985807</v>
      </c>
      <c r="G50" s="69">
        <f>F50/MAX(F48:F51)</f>
        <v>0.19654727541786526</v>
      </c>
      <c r="K50" s="4"/>
      <c r="L50" s="4"/>
      <c r="M50" s="4"/>
      <c r="N50" s="4"/>
      <c r="O50" s="4"/>
      <c r="P50" s="4"/>
    </row>
    <row r="51" spans="1:16" x14ac:dyDescent="0.35">
      <c r="A51" s="70" t="s">
        <v>11</v>
      </c>
      <c r="B51" s="12">
        <f>1/E48</f>
        <v>0.1111111111111111</v>
      </c>
      <c r="C51" s="10">
        <f>1/E49</f>
        <v>0.2</v>
      </c>
      <c r="D51" s="10">
        <f>1/E50</f>
        <v>0.33333333333333331</v>
      </c>
      <c r="E51" s="9">
        <v>1</v>
      </c>
      <c r="F51" s="77">
        <v>4.9936611956982339E-2</v>
      </c>
      <c r="G51" s="69">
        <f>F51/MAX(F48:F51)</f>
        <v>8.6009820965736908E-2</v>
      </c>
      <c r="K51" s="4"/>
      <c r="L51" s="4"/>
      <c r="M51" s="4"/>
      <c r="N51" s="4"/>
      <c r="O51" s="4"/>
      <c r="P51" s="4"/>
    </row>
    <row r="52" spans="1:16" x14ac:dyDescent="0.35">
      <c r="A52" s="4"/>
      <c r="B52" s="5"/>
      <c r="C52" s="6"/>
      <c r="E52" s="75" t="s">
        <v>1</v>
      </c>
      <c r="F52" s="74">
        <v>4.0762934323702211</v>
      </c>
      <c r="K52" s="4"/>
      <c r="L52" s="4"/>
      <c r="M52" s="4"/>
      <c r="N52" s="4"/>
      <c r="O52" s="4"/>
      <c r="P52" s="4"/>
    </row>
    <row r="53" spans="1:16" x14ac:dyDescent="0.35">
      <c r="A53" s="4"/>
      <c r="B53" s="5"/>
      <c r="C53" s="6"/>
      <c r="E53" s="76" t="s">
        <v>2</v>
      </c>
      <c r="F53" s="74">
        <v>2.8256826803785599E-2</v>
      </c>
      <c r="G53" s="4" t="str">
        <f>IF(F53&lt;= 0.1, "&lt; 0.1", "&gt; 0.1")</f>
        <v>&lt; 0.1</v>
      </c>
      <c r="K53" s="4"/>
      <c r="L53" s="4"/>
      <c r="M53" s="4"/>
      <c r="N53" s="4"/>
      <c r="O53" s="4"/>
      <c r="P53" s="4"/>
    </row>
    <row r="54" spans="1:16" x14ac:dyDescent="0.35">
      <c r="A54" s="4"/>
      <c r="B54" s="5"/>
      <c r="C54" s="6"/>
      <c r="F54" s="4"/>
      <c r="K54" s="4"/>
      <c r="L54" s="4"/>
      <c r="M54" s="4"/>
      <c r="N54" s="4"/>
      <c r="O54" s="4"/>
      <c r="P54" s="4"/>
    </row>
    <row r="55" spans="1:16" x14ac:dyDescent="0.35">
      <c r="A55" s="4"/>
      <c r="B55" s="5"/>
      <c r="C55" s="6"/>
      <c r="D55" s="5"/>
      <c r="E55" s="5"/>
      <c r="F55" s="4"/>
      <c r="K55" s="4"/>
      <c r="L55" s="4"/>
      <c r="M55" s="4"/>
      <c r="N55" s="4"/>
      <c r="O55" s="4"/>
      <c r="P55" s="4"/>
    </row>
    <row r="56" spans="1:16" x14ac:dyDescent="0.35">
      <c r="K56" s="4"/>
      <c r="L56" s="4"/>
      <c r="M56" s="4"/>
      <c r="N56" s="4"/>
      <c r="O56" s="4"/>
      <c r="P56" s="4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zoomScaleNormal="100" workbookViewId="0">
      <selection sqref="A1:L1"/>
    </sheetView>
  </sheetViews>
  <sheetFormatPr defaultRowHeight="14.5" x14ac:dyDescent="0.35"/>
  <cols>
    <col min="1" max="1" width="4.26953125" customWidth="1"/>
    <col min="2" max="2" width="17.1796875" customWidth="1"/>
    <col min="3" max="3" width="18.453125" customWidth="1"/>
    <col min="4" max="4" width="11.26953125" customWidth="1"/>
    <col min="5" max="5" width="17.7265625" customWidth="1"/>
    <col min="6" max="6" width="11.7265625" customWidth="1"/>
    <col min="7" max="7" width="15.81640625" customWidth="1"/>
    <col min="8" max="8" width="11.7265625" customWidth="1"/>
    <col min="9" max="9" width="14.26953125" customWidth="1"/>
    <col min="10" max="10" width="14" customWidth="1"/>
    <col min="11" max="11" width="17.453125" customWidth="1"/>
  </cols>
  <sheetData>
    <row r="1" spans="1:12" ht="15.5" x14ac:dyDescent="0.35">
      <c r="A1" s="92" t="s">
        <v>54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4"/>
    </row>
    <row r="3" spans="1:12" x14ac:dyDescent="0.35">
      <c r="C3" s="79" t="s">
        <v>43</v>
      </c>
      <c r="D3" s="80"/>
      <c r="E3" s="80"/>
      <c r="F3" s="80"/>
      <c r="G3" s="80"/>
      <c r="H3" s="80"/>
      <c r="I3" s="80"/>
      <c r="J3" s="81"/>
    </row>
    <row r="4" spans="1:12" ht="15.5" x14ac:dyDescent="0.35">
      <c r="C4" s="29" t="s">
        <v>28</v>
      </c>
      <c r="D4" s="27">
        <f>'Ratings System (Algebra)'!F6</f>
        <v>0.56500905379903787</v>
      </c>
      <c r="E4" s="29" t="s">
        <v>3</v>
      </c>
      <c r="F4" s="27">
        <f>'Ratings System (Algebra)'!F7</f>
        <v>0.11750425004139527</v>
      </c>
      <c r="G4" s="29" t="s">
        <v>4</v>
      </c>
      <c r="H4" s="27">
        <f>'Ratings System (Algebra)'!F8</f>
        <v>5.528549059867964E-2</v>
      </c>
      <c r="I4" s="29" t="s">
        <v>5</v>
      </c>
      <c r="J4" s="27">
        <f>'Ratings System (Algebra)'!F9</f>
        <v>0.26220120556088722</v>
      </c>
    </row>
    <row r="5" spans="1:12" ht="16.5" customHeight="1" x14ac:dyDescent="0.35">
      <c r="C5" s="28" t="s">
        <v>35</v>
      </c>
      <c r="D5" s="28" t="s">
        <v>36</v>
      </c>
      <c r="E5" s="28" t="s">
        <v>35</v>
      </c>
      <c r="F5" s="28" t="s">
        <v>36</v>
      </c>
      <c r="G5" s="28" t="s">
        <v>35</v>
      </c>
      <c r="H5" s="28" t="s">
        <v>36</v>
      </c>
      <c r="I5" s="28" t="s">
        <v>35</v>
      </c>
      <c r="J5" s="28" t="s">
        <v>36</v>
      </c>
    </row>
    <row r="6" spans="1:12" x14ac:dyDescent="0.35">
      <c r="C6" s="14" t="s">
        <v>12</v>
      </c>
      <c r="D6" s="71">
        <f>'Ratings System (Algebra)'!H17</f>
        <v>1</v>
      </c>
      <c r="E6" s="14" t="s">
        <v>18</v>
      </c>
      <c r="F6" s="71">
        <f>'Ratings System (Algebra)'!G27</f>
        <v>1</v>
      </c>
      <c r="G6" s="14" t="s">
        <v>22</v>
      </c>
      <c r="H6" s="18">
        <f>'Ratings System (Algebra)'!H37</f>
        <v>1</v>
      </c>
      <c r="I6" s="14" t="s">
        <v>8</v>
      </c>
      <c r="J6" s="18">
        <f>'Ratings System (Algebra)'!G48</f>
        <v>1</v>
      </c>
    </row>
    <row r="7" spans="1:12" x14ac:dyDescent="0.35">
      <c r="C7" s="14" t="s">
        <v>9</v>
      </c>
      <c r="D7" s="19">
        <f>'Ratings System (Algebra)'!H18</f>
        <v>0.7879972650086724</v>
      </c>
      <c r="E7" s="14" t="s">
        <v>34</v>
      </c>
      <c r="F7" s="19">
        <f>'Ratings System (Algebra)'!G28</f>
        <v>0.47297062359688363</v>
      </c>
      <c r="G7" s="14" t="s">
        <v>23</v>
      </c>
      <c r="H7" s="19">
        <f>'Ratings System (Algebra)'!H38</f>
        <v>0.7746476234173777</v>
      </c>
      <c r="I7" s="14" t="s">
        <v>9</v>
      </c>
      <c r="J7" s="19">
        <f>'Ratings System (Algebra)'!G49</f>
        <v>0.4398228888630874</v>
      </c>
    </row>
    <row r="8" spans="1:12" x14ac:dyDescent="0.35">
      <c r="C8" s="14" t="s">
        <v>13</v>
      </c>
      <c r="D8" s="19">
        <f>'Ratings System (Algebra)'!H19</f>
        <v>0.31792679612562036</v>
      </c>
      <c r="E8" s="14" t="s">
        <v>20</v>
      </c>
      <c r="F8" s="19">
        <f>'Ratings System (Algebra)'!G29</f>
        <v>0.19222533493638305</v>
      </c>
      <c r="G8" s="14" t="s">
        <v>24</v>
      </c>
      <c r="H8" s="19">
        <f>'Ratings System (Algebra)'!H39</f>
        <v>0.39165323695808291</v>
      </c>
      <c r="I8" s="14" t="s">
        <v>10</v>
      </c>
      <c r="J8" s="19">
        <f>'Ratings System (Algebra)'!G50</f>
        <v>0.19654727541786526</v>
      </c>
    </row>
    <row r="9" spans="1:12" x14ac:dyDescent="0.35">
      <c r="C9" s="14" t="s">
        <v>14</v>
      </c>
      <c r="D9" s="19">
        <f>'Ratings System (Algebra)'!H20</f>
        <v>0.140057945296853</v>
      </c>
      <c r="E9" s="14" t="s">
        <v>21</v>
      </c>
      <c r="F9" s="19">
        <f>'Ratings System (Algebra)'!G30</f>
        <v>7.8621287057491038E-2</v>
      </c>
      <c r="G9" s="14" t="s">
        <v>25</v>
      </c>
      <c r="H9" s="19">
        <f>'Ratings System (Algebra)'!H40</f>
        <v>0.25202957339300985</v>
      </c>
      <c r="I9" s="14" t="s">
        <v>11</v>
      </c>
      <c r="J9" s="19">
        <f>'Ratings System (Algebra)'!G51</f>
        <v>8.6009820965736908E-2</v>
      </c>
    </row>
    <row r="10" spans="1:12" x14ac:dyDescent="0.35">
      <c r="C10" s="14" t="s">
        <v>15</v>
      </c>
      <c r="D10" s="19">
        <f>'Ratings System (Algebra)'!H21</f>
        <v>8.6395411520819046E-2</v>
      </c>
      <c r="E10" s="30"/>
      <c r="F10" s="30"/>
      <c r="G10" s="14" t="s">
        <v>26</v>
      </c>
      <c r="H10" s="19">
        <f>'Ratings System (Algebra)'!H41</f>
        <v>0.1253533098512096</v>
      </c>
      <c r="I10" s="30"/>
      <c r="J10" s="30"/>
    </row>
    <row r="12" spans="1:12" ht="19.5" customHeight="1" x14ac:dyDescent="0.35">
      <c r="A12" s="26"/>
      <c r="B12" s="37" t="s">
        <v>37</v>
      </c>
      <c r="C12" s="78" t="s">
        <v>38</v>
      </c>
      <c r="D12" s="78"/>
      <c r="E12" s="78" t="s">
        <v>39</v>
      </c>
      <c r="F12" s="78"/>
      <c r="G12" s="78" t="s">
        <v>40</v>
      </c>
      <c r="H12" s="78"/>
      <c r="I12" s="78" t="s">
        <v>41</v>
      </c>
      <c r="J12" s="78"/>
      <c r="K12" s="38" t="s">
        <v>42</v>
      </c>
    </row>
    <row r="13" spans="1:12" ht="15.5" x14ac:dyDescent="0.35">
      <c r="A13" s="20">
        <v>1</v>
      </c>
      <c r="B13" s="35" t="s">
        <v>29</v>
      </c>
      <c r="C13" s="21" t="s">
        <v>9</v>
      </c>
      <c r="D13" s="31">
        <f ca="1">OFFSET($C$5, MATCH(C13, $C$6:$C$10,0), 1)</f>
        <v>0.7879972650086724</v>
      </c>
      <c r="E13" s="21" t="s">
        <v>18</v>
      </c>
      <c r="F13" s="31">
        <f ca="1">OFFSET($E$5, MATCH(E13, $E$6:$E$9, 0), 1)</f>
        <v>1</v>
      </c>
      <c r="G13" s="21" t="s">
        <v>24</v>
      </c>
      <c r="H13" s="31">
        <f ca="1">OFFSET($G$5, MATCH(G13, $G$6:$G$10, 0), 1)</f>
        <v>0.39165323695808291</v>
      </c>
      <c r="I13" s="21" t="s">
        <v>10</v>
      </c>
      <c r="J13" s="31">
        <f ca="1">OFFSET($I$5, MATCH(I13, $I$6:$I$9, 0), 1)</f>
        <v>0.19654727541786526</v>
      </c>
      <c r="K13" s="33">
        <f ca="1">$D$4*D13 + $F$4*F13 +$H$4*H13 +$J$4*J13</f>
        <v>0.63591751305423549</v>
      </c>
    </row>
    <row r="14" spans="1:12" ht="15.5" x14ac:dyDescent="0.35">
      <c r="A14" s="22">
        <v>2</v>
      </c>
      <c r="B14" s="36" t="s">
        <v>30</v>
      </c>
      <c r="C14" s="23" t="s">
        <v>13</v>
      </c>
      <c r="D14" s="32">
        <f t="shared" ref="D14:D17" ca="1" si="0">OFFSET($C$5, MATCH(C14, $C$6:$C$10,0), 1)</f>
        <v>0.31792679612562036</v>
      </c>
      <c r="E14" s="23" t="s">
        <v>20</v>
      </c>
      <c r="F14" s="32">
        <f t="shared" ref="F14:F17" ca="1" si="1">OFFSET($E$5, MATCH(E14, $E$6:$E$9, 0), 1)</f>
        <v>0.19222533493638305</v>
      </c>
      <c r="G14" s="23" t="s">
        <v>22</v>
      </c>
      <c r="H14" s="32">
        <f t="shared" ref="H14:H17" ca="1" si="2">OFFSET($G$5, MATCH(G14, $G$6:$G$10, 0), 1)</f>
        <v>1</v>
      </c>
      <c r="I14" s="23" t="s">
        <v>9</v>
      </c>
      <c r="J14" s="32">
        <f t="shared" ref="J14:J17" ca="1" si="3">OFFSET($I$5, MATCH(I14, $I$6:$I$9, 0), 1)</f>
        <v>0.4398228888630874</v>
      </c>
      <c r="K14" s="34">
        <f t="shared" ref="K14:K17" ca="1" si="4">$D$4*D14 + $F$4*F14 +$H$4*H14 +$J$4*J14</f>
        <v>0.37282639436880538</v>
      </c>
    </row>
    <row r="15" spans="1:12" ht="15.5" x14ac:dyDescent="0.35">
      <c r="A15" s="20">
        <v>3</v>
      </c>
      <c r="B15" s="35" t="s">
        <v>31</v>
      </c>
      <c r="C15" s="21" t="s">
        <v>14</v>
      </c>
      <c r="D15" s="31">
        <f t="shared" ca="1" si="0"/>
        <v>0.140057945296853</v>
      </c>
      <c r="E15" s="21" t="s">
        <v>21</v>
      </c>
      <c r="F15" s="31">
        <f t="shared" ca="1" si="1"/>
        <v>7.8621287057491038E-2</v>
      </c>
      <c r="G15" s="21" t="s">
        <v>25</v>
      </c>
      <c r="H15" s="31">
        <f t="shared" ca="1" si="2"/>
        <v>0.25202957339300985</v>
      </c>
      <c r="I15" s="21" t="s">
        <v>11</v>
      </c>
      <c r="J15" s="31">
        <f t="shared" ca="1" si="3"/>
        <v>8.6009820965736908E-2</v>
      </c>
      <c r="K15" s="33">
        <f t="shared" ca="1" si="4"/>
        <v>0.12485779987989286</v>
      </c>
    </row>
    <row r="16" spans="1:12" ht="15.5" x14ac:dyDescent="0.35">
      <c r="A16" s="22">
        <v>4</v>
      </c>
      <c r="B16" s="36" t="s">
        <v>32</v>
      </c>
      <c r="C16" s="23" t="s">
        <v>9</v>
      </c>
      <c r="D16" s="32">
        <f t="shared" ca="1" si="0"/>
        <v>0.7879972650086724</v>
      </c>
      <c r="E16" s="23" t="s">
        <v>34</v>
      </c>
      <c r="F16" s="32">
        <f t="shared" ca="1" si="1"/>
        <v>0.47297062359688363</v>
      </c>
      <c r="G16" s="23" t="s">
        <v>26</v>
      </c>
      <c r="H16" s="32">
        <f t="shared" ca="1" si="2"/>
        <v>0.1253533098512096</v>
      </c>
      <c r="I16" s="23" t="s">
        <v>8</v>
      </c>
      <c r="J16" s="32">
        <f t="shared" ca="1" si="3"/>
        <v>1</v>
      </c>
      <c r="K16" s="34">
        <f t="shared" ca="1" si="4"/>
        <v>0.76993307231032215</v>
      </c>
    </row>
    <row r="17" spans="1:11" ht="15.5" x14ac:dyDescent="0.35">
      <c r="A17" s="20">
        <v>5</v>
      </c>
      <c r="B17" s="35" t="s">
        <v>33</v>
      </c>
      <c r="C17" s="21" t="s">
        <v>12</v>
      </c>
      <c r="D17" s="31">
        <f t="shared" ca="1" si="0"/>
        <v>1</v>
      </c>
      <c r="E17" s="21" t="s">
        <v>20</v>
      </c>
      <c r="F17" s="31">
        <f t="shared" ca="1" si="1"/>
        <v>0.19222533493638305</v>
      </c>
      <c r="G17" s="21" t="s">
        <v>23</v>
      </c>
      <c r="H17" s="31">
        <f t="shared" ca="1" si="2"/>
        <v>0.7746476234173777</v>
      </c>
      <c r="I17" s="21" t="s">
        <v>9</v>
      </c>
      <c r="J17" s="31">
        <f t="shared" ca="1" si="3"/>
        <v>0.4398228888630874</v>
      </c>
      <c r="K17" s="33">
        <f t="shared" ca="1" si="4"/>
        <v>0.74574521321459819</v>
      </c>
    </row>
    <row r="18" spans="1:11" ht="15.5" x14ac:dyDescent="0.35">
      <c r="A18" s="22">
        <v>6</v>
      </c>
      <c r="B18" s="23"/>
      <c r="C18" s="23"/>
      <c r="D18" s="32"/>
      <c r="E18" s="23"/>
      <c r="F18" s="24"/>
      <c r="G18" s="23"/>
      <c r="H18" s="24"/>
      <c r="I18" s="23"/>
      <c r="J18" s="24"/>
      <c r="K18" s="23"/>
    </row>
    <row r="19" spans="1:11" ht="15.5" x14ac:dyDescent="0.35">
      <c r="A19" s="20">
        <v>7</v>
      </c>
      <c r="B19" s="25"/>
      <c r="C19" s="21"/>
      <c r="D19" s="31"/>
      <c r="E19" s="21"/>
      <c r="F19" s="25"/>
      <c r="G19" s="21"/>
      <c r="H19" s="25"/>
      <c r="I19" s="21"/>
      <c r="J19" s="25"/>
      <c r="K19" s="25"/>
    </row>
  </sheetData>
  <mergeCells count="5">
    <mergeCell ref="C12:D12"/>
    <mergeCell ref="E12:F12"/>
    <mergeCell ref="G12:H12"/>
    <mergeCell ref="I12:J12"/>
    <mergeCell ref="C3:J3"/>
  </mergeCells>
  <dataValidations count="4">
    <dataValidation type="list" allowBlank="1" showInputMessage="1" showErrorMessage="1" sqref="C13:C19" xr:uid="{00000000-0002-0000-0100-000000000000}">
      <formula1>$C$6:$C$10</formula1>
    </dataValidation>
    <dataValidation type="list" allowBlank="1" showInputMessage="1" showErrorMessage="1" sqref="E13:E19" xr:uid="{00000000-0002-0000-0100-000001000000}">
      <formula1>$E$6:$E$9</formula1>
    </dataValidation>
    <dataValidation type="list" allowBlank="1" showInputMessage="1" showErrorMessage="1" sqref="G13:G19" xr:uid="{00000000-0002-0000-0100-000002000000}">
      <formula1>$G$6:$G$10</formula1>
    </dataValidation>
    <dataValidation type="list" allowBlank="1" showInputMessage="1" showErrorMessage="1" sqref="I13:I19" xr:uid="{00000000-0002-0000-0100-000003000000}">
      <formula1>$I$6:$I$9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23"/>
  <sheetViews>
    <sheetView zoomScaleNormal="100" workbookViewId="0">
      <selection sqref="A1:K2"/>
    </sheetView>
  </sheetViews>
  <sheetFormatPr defaultColWidth="8.81640625" defaultRowHeight="12.5" x14ac:dyDescent="0.25"/>
  <cols>
    <col min="1" max="1" width="3.453125" style="40" customWidth="1"/>
    <col min="2" max="2" width="15" style="40" customWidth="1"/>
    <col min="3" max="3" width="10.81640625" style="40" customWidth="1"/>
    <col min="4" max="4" width="11.7265625" style="40" customWidth="1"/>
    <col min="5" max="5" width="12.81640625" style="40" customWidth="1"/>
    <col min="6" max="6" width="11.453125" style="40" customWidth="1"/>
    <col min="7" max="7" width="14.1796875" style="40" customWidth="1"/>
    <col min="8" max="8" width="11.1796875" style="40" customWidth="1"/>
    <col min="9" max="9" width="10.81640625" style="40" customWidth="1"/>
    <col min="10" max="10" width="10.1796875" style="40" customWidth="1"/>
    <col min="11" max="11" width="10" style="40" bestFit="1" customWidth="1"/>
    <col min="12" max="16384" width="8.81640625" style="40"/>
  </cols>
  <sheetData>
    <row r="1" spans="1:11" ht="15.5" x14ac:dyDescent="0.25">
      <c r="A1" s="92" t="s">
        <v>54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15.75" customHeight="1" x14ac:dyDescent="0.25">
      <c r="A2" s="95" t="s">
        <v>51</v>
      </c>
      <c r="B2" s="95"/>
      <c r="C2" s="95"/>
      <c r="D2" s="95"/>
      <c r="E2" s="95"/>
      <c r="F2" s="95"/>
      <c r="G2" s="95"/>
      <c r="H2" s="95"/>
      <c r="I2" s="95"/>
      <c r="J2" s="96"/>
      <c r="K2" s="96"/>
    </row>
    <row r="5" spans="1:11" ht="19.399999999999999" customHeight="1" x14ac:dyDescent="0.25">
      <c r="B5" s="82" t="s">
        <v>44</v>
      </c>
      <c r="C5" s="82" t="s">
        <v>45</v>
      </c>
      <c r="D5" s="84" t="s">
        <v>46</v>
      </c>
      <c r="E5" s="85"/>
      <c r="F5" s="85"/>
      <c r="G5" s="86"/>
    </row>
    <row r="6" spans="1:11" ht="15" customHeight="1" x14ac:dyDescent="0.25">
      <c r="B6" s="83"/>
      <c r="C6" s="83"/>
      <c r="D6" s="13" t="s">
        <v>6</v>
      </c>
      <c r="E6" s="13" t="s">
        <v>3</v>
      </c>
      <c r="F6" s="13" t="s">
        <v>4</v>
      </c>
      <c r="G6" s="13" t="s">
        <v>5</v>
      </c>
      <c r="K6" s="41"/>
    </row>
    <row r="7" spans="1:11" ht="17.25" customHeight="1" x14ac:dyDescent="0.25">
      <c r="A7" s="42"/>
      <c r="B7" s="14" t="s">
        <v>28</v>
      </c>
      <c r="C7" s="53">
        <f>'Ratings System (Algebra)'!F6</f>
        <v>0.56500905379903787</v>
      </c>
      <c r="D7" s="54">
        <f>C7</f>
        <v>0.56500905379903787</v>
      </c>
      <c r="E7" s="55">
        <f>(1-$E$8)*C7/SUM($C$7, $C$9:$C$10)</f>
        <v>0.56500905379903787</v>
      </c>
      <c r="F7" s="55">
        <f>(1-$F$9)*C7/SUM($C$7:$C$8, $C$10)</f>
        <v>0.56500905379903787</v>
      </c>
      <c r="G7" s="55">
        <f>(1-$G$10)*C7/ SUM($C$7:$C$9)</f>
        <v>0.56500905379903787</v>
      </c>
    </row>
    <row r="8" spans="1:11" ht="13" x14ac:dyDescent="0.25">
      <c r="A8" s="42"/>
      <c r="B8" s="14" t="s">
        <v>3</v>
      </c>
      <c r="C8" s="53">
        <f>'Ratings System (Algebra)'!F7</f>
        <v>0.11750425004139527</v>
      </c>
      <c r="D8" s="55">
        <f>(1-$D$7)*C8/SUM($C$8:$C$10)</f>
        <v>0.11750425004139527</v>
      </c>
      <c r="E8" s="54">
        <f>C8</f>
        <v>0.11750425004139527</v>
      </c>
      <c r="F8" s="55">
        <f>(1-$F$9)*C8/SUM($C$7:$C$8, $C$10)</f>
        <v>0.11750425004139527</v>
      </c>
      <c r="G8" s="55">
        <f t="shared" ref="G8:G9" si="0">(1-$G$10)*C8/ SUM($C$7:$C$9)</f>
        <v>0.11750425004139527</v>
      </c>
    </row>
    <row r="9" spans="1:11" ht="13" x14ac:dyDescent="0.25">
      <c r="A9" s="42"/>
      <c r="B9" s="14" t="s">
        <v>4</v>
      </c>
      <c r="C9" s="53">
        <f>'Ratings System (Algebra)'!F8</f>
        <v>5.528549059867964E-2</v>
      </c>
      <c r="D9" s="55">
        <f t="shared" ref="D9:D10" si="1">(1-$D$7)*C9/SUM($C$8:$C$10)</f>
        <v>5.528549059867964E-2</v>
      </c>
      <c r="E9" s="55">
        <f t="shared" ref="E9:E10" si="2">(1-$E$8)*C9/SUM($C$7, $C$9:$C$10)</f>
        <v>5.528549059867964E-2</v>
      </c>
      <c r="F9" s="54">
        <f>C9</f>
        <v>5.528549059867964E-2</v>
      </c>
      <c r="G9" s="55">
        <f t="shared" si="0"/>
        <v>5.5285490598679633E-2</v>
      </c>
    </row>
    <row r="10" spans="1:11" ht="17.25" customHeight="1" x14ac:dyDescent="0.25">
      <c r="A10" s="42"/>
      <c r="B10" s="14" t="s">
        <v>5</v>
      </c>
      <c r="C10" s="53">
        <f>'Ratings System (Algebra)'!F9</f>
        <v>0.26220120556088722</v>
      </c>
      <c r="D10" s="55">
        <f t="shared" si="1"/>
        <v>0.26220120556088722</v>
      </c>
      <c r="E10" s="55">
        <f t="shared" si="2"/>
        <v>0.26220120556088722</v>
      </c>
      <c r="F10" s="55">
        <f>(1-$F$9)*C10/SUM($C$7:$C$8, $C$10)</f>
        <v>0.26220120556088722</v>
      </c>
      <c r="G10" s="54">
        <f>C10</f>
        <v>0.26220120556088722</v>
      </c>
    </row>
    <row r="11" spans="1:11" x14ac:dyDescent="0.25">
      <c r="B11" s="43" t="s">
        <v>47</v>
      </c>
      <c r="C11" s="44">
        <f>SUM(C7:C10)</f>
        <v>1</v>
      </c>
      <c r="D11" s="44">
        <f>SUM(D7:D10)</f>
        <v>1</v>
      </c>
      <c r="E11" s="44">
        <f>SUM(E7:E10)</f>
        <v>1</v>
      </c>
      <c r="F11" s="44">
        <f>SUM(F7:F10)</f>
        <v>1</v>
      </c>
      <c r="G11" s="44">
        <f>SUM(G7:G10)</f>
        <v>1</v>
      </c>
    </row>
    <row r="12" spans="1:11" x14ac:dyDescent="0.25">
      <c r="C12" s="45"/>
      <c r="D12" s="46"/>
      <c r="E12" s="46"/>
      <c r="F12" s="46"/>
      <c r="G12" s="46"/>
      <c r="H12" s="46"/>
      <c r="I12" s="46"/>
    </row>
    <row r="14" spans="1:11" ht="15" customHeight="1" x14ac:dyDescent="0.25">
      <c r="B14" s="47"/>
      <c r="C14" s="87" t="s">
        <v>48</v>
      </c>
      <c r="D14" s="88"/>
      <c r="E14" s="88"/>
      <c r="F14" s="89"/>
      <c r="G14" s="90" t="s">
        <v>50</v>
      </c>
    </row>
    <row r="15" spans="1:11" ht="15.75" customHeight="1" x14ac:dyDescent="0.25">
      <c r="B15" s="48" t="s">
        <v>49</v>
      </c>
      <c r="C15" s="13" t="s">
        <v>6</v>
      </c>
      <c r="D15" s="13" t="s">
        <v>3</v>
      </c>
      <c r="E15" s="13" t="s">
        <v>4</v>
      </c>
      <c r="F15" s="13" t="s">
        <v>5</v>
      </c>
      <c r="G15" s="91"/>
    </row>
    <row r="16" spans="1:11" ht="13" x14ac:dyDescent="0.3">
      <c r="B16" s="21" t="s">
        <v>29</v>
      </c>
      <c r="C16" s="56">
        <f ca="1">Evaluation!D13</f>
        <v>0.7879972650086724</v>
      </c>
      <c r="D16" s="56">
        <f ca="1">Evaluation!F13</f>
        <v>1</v>
      </c>
      <c r="E16" s="56">
        <f ca="1">Evaluation!H13</f>
        <v>0.39165323695808291</v>
      </c>
      <c r="F16" s="56">
        <f ca="1">Evaluation!J13</f>
        <v>0.19654727541786526</v>
      </c>
      <c r="G16" s="57">
        <f t="array" aca="1" ref="G16:G20" ca="1">MMULT(C16:F20, C7:C10)</f>
        <v>0.63591751305423549</v>
      </c>
      <c r="H16" s="49"/>
    </row>
    <row r="17" spans="2:7" ht="13" x14ac:dyDescent="0.3">
      <c r="B17" s="21" t="s">
        <v>30</v>
      </c>
      <c r="C17" s="56">
        <f ca="1">Evaluation!D14</f>
        <v>0.31792679612562036</v>
      </c>
      <c r="D17" s="56">
        <f ca="1">Evaluation!F14</f>
        <v>0.19222533493638305</v>
      </c>
      <c r="E17" s="56">
        <f ca="1">Evaluation!H14</f>
        <v>1</v>
      </c>
      <c r="F17" s="56">
        <f ca="1">Evaluation!J14</f>
        <v>0.4398228888630874</v>
      </c>
      <c r="G17" s="58">
        <f ca="1"/>
        <v>0.37282639436880538</v>
      </c>
    </row>
    <row r="18" spans="2:7" ht="13" x14ac:dyDescent="0.3">
      <c r="B18" s="21" t="s">
        <v>31</v>
      </c>
      <c r="C18" s="56">
        <f ca="1">Evaluation!D15</f>
        <v>0.140057945296853</v>
      </c>
      <c r="D18" s="56">
        <f ca="1">Evaluation!F15</f>
        <v>7.8621287057491038E-2</v>
      </c>
      <c r="E18" s="56">
        <f ca="1">Evaluation!H15</f>
        <v>0.25202957339300985</v>
      </c>
      <c r="F18" s="56">
        <f ca="1">Evaluation!J15</f>
        <v>8.6009820965736908E-2</v>
      </c>
      <c r="G18" s="58">
        <f ca="1"/>
        <v>0.12485779987989286</v>
      </c>
    </row>
    <row r="19" spans="2:7" ht="13" x14ac:dyDescent="0.3">
      <c r="B19" s="21" t="s">
        <v>32</v>
      </c>
      <c r="C19" s="56">
        <f ca="1">Evaluation!D16</f>
        <v>0.7879972650086724</v>
      </c>
      <c r="D19" s="56">
        <f ca="1">Evaluation!F16</f>
        <v>0.47297062359688363</v>
      </c>
      <c r="E19" s="56">
        <f ca="1">Evaluation!H16</f>
        <v>0.1253533098512096</v>
      </c>
      <c r="F19" s="56">
        <f ca="1">Evaluation!J16</f>
        <v>1</v>
      </c>
      <c r="G19" s="58">
        <f ca="1"/>
        <v>0.76993307231032215</v>
      </c>
    </row>
    <row r="20" spans="2:7" ht="13" x14ac:dyDescent="0.3">
      <c r="B20" s="21" t="s">
        <v>33</v>
      </c>
      <c r="C20" s="56">
        <f ca="1">Evaluation!D17</f>
        <v>1</v>
      </c>
      <c r="D20" s="56">
        <f ca="1">Evaluation!F17</f>
        <v>0.19222533493638305</v>
      </c>
      <c r="E20" s="56">
        <f ca="1">Evaluation!H17</f>
        <v>0.7746476234173777</v>
      </c>
      <c r="F20" s="56">
        <f ca="1">Evaluation!J17</f>
        <v>0.4398228888630874</v>
      </c>
      <c r="G20" s="58">
        <f ca="1"/>
        <v>0.74574521321459819</v>
      </c>
    </row>
    <row r="23" spans="2:7" x14ac:dyDescent="0.25">
      <c r="B23" s="50"/>
    </row>
    <row r="24" spans="2:7" ht="13" x14ac:dyDescent="0.3">
      <c r="B24" s="13" t="s">
        <v>28</v>
      </c>
      <c r="C24" s="17" t="s">
        <v>29</v>
      </c>
      <c r="D24" s="17" t="s">
        <v>30</v>
      </c>
      <c r="E24" s="17" t="s">
        <v>31</v>
      </c>
      <c r="F24" s="17" t="s">
        <v>32</v>
      </c>
      <c r="G24" s="17" t="s">
        <v>33</v>
      </c>
    </row>
    <row r="25" spans="2:7" ht="13" x14ac:dyDescent="0.25">
      <c r="B25" s="59"/>
      <c r="C25" s="60">
        <f t="array" aca="1" ref="C25:G25" ca="1">TRANSPOSE(MMULT(C16:F20, D7:D10))</f>
        <v>0.63591751305423549</v>
      </c>
      <c r="D25" s="60">
        <f ca="1"/>
        <v>0.37282639436880538</v>
      </c>
      <c r="E25" s="60">
        <f ca="1"/>
        <v>0.12485779987989286</v>
      </c>
      <c r="F25" s="60">
        <f ca="1"/>
        <v>0.76993307231032215</v>
      </c>
      <c r="G25" s="60">
        <f ca="1"/>
        <v>0.74574521321459819</v>
      </c>
    </row>
    <row r="26" spans="2:7" ht="13" x14ac:dyDescent="0.25">
      <c r="B26" s="61">
        <v>0</v>
      </c>
      <c r="C26" s="62">
        <f t="dataTable" ref="C26:G36" dt2D="0" dtr="0" r1="D7" ca="1"/>
        <v>0.43838136315452819</v>
      </c>
      <c r="D26" s="62">
        <v>0.44413539591983736</v>
      </c>
      <c r="E26" s="62">
        <v>0.10511435497684246</v>
      </c>
      <c r="F26" s="62">
        <v>0.74646952091166141</v>
      </c>
      <c r="G26" s="62">
        <v>0.41549407175951136</v>
      </c>
    </row>
    <row r="27" spans="2:7" ht="13" x14ac:dyDescent="0.25">
      <c r="B27" s="61">
        <v>0.1</v>
      </c>
      <c r="C27" s="62">
        <v>0.47334295333994258</v>
      </c>
      <c r="D27" s="62">
        <v>0.43151453594041567</v>
      </c>
      <c r="E27" s="62">
        <v>0.10860871400884352</v>
      </c>
      <c r="F27" s="62">
        <v>0.7506222953213626</v>
      </c>
      <c r="G27" s="62">
        <v>0.47394466458356022</v>
      </c>
    </row>
    <row r="28" spans="2:7" ht="13" x14ac:dyDescent="0.25">
      <c r="B28" s="61">
        <v>0.2</v>
      </c>
      <c r="C28" s="62">
        <v>0.50830454352535703</v>
      </c>
      <c r="D28" s="62">
        <v>0.41889367596099397</v>
      </c>
      <c r="E28" s="62">
        <v>0.1121030730408446</v>
      </c>
      <c r="F28" s="62">
        <v>0.75477506973106379</v>
      </c>
      <c r="G28" s="62">
        <v>0.53239525740760918</v>
      </c>
    </row>
    <row r="29" spans="2:7" ht="13" x14ac:dyDescent="0.25">
      <c r="B29" s="61">
        <v>0.3</v>
      </c>
      <c r="C29" s="62">
        <v>0.54326613371077148</v>
      </c>
      <c r="D29" s="62">
        <v>0.40627281598157222</v>
      </c>
      <c r="E29" s="62">
        <v>0.11559743207284562</v>
      </c>
      <c r="F29" s="62">
        <v>0.75892784414076475</v>
      </c>
      <c r="G29" s="62">
        <v>0.59084585023165792</v>
      </c>
    </row>
    <row r="30" spans="2:7" ht="13" x14ac:dyDescent="0.25">
      <c r="B30" s="61">
        <v>0.4</v>
      </c>
      <c r="C30" s="62">
        <v>0.57822772389618593</v>
      </c>
      <c r="D30" s="62">
        <v>0.39365195600215053</v>
      </c>
      <c r="E30" s="62">
        <v>0.11909179110484668</v>
      </c>
      <c r="F30" s="62">
        <v>0.76308061855046583</v>
      </c>
      <c r="G30" s="62">
        <v>0.64929644305570677</v>
      </c>
    </row>
    <row r="31" spans="2:7" ht="13" x14ac:dyDescent="0.25">
      <c r="B31" s="61">
        <v>0.5</v>
      </c>
      <c r="C31" s="62">
        <v>0.61318931408160027</v>
      </c>
      <c r="D31" s="62">
        <v>0.38103109602272889</v>
      </c>
      <c r="E31" s="62">
        <v>0.12258615013684773</v>
      </c>
      <c r="F31" s="62">
        <v>0.7672333929601669</v>
      </c>
      <c r="G31" s="62">
        <v>0.70774703587975563</v>
      </c>
    </row>
    <row r="32" spans="2:7" ht="13" x14ac:dyDescent="0.25">
      <c r="B32" s="61">
        <v>0.6</v>
      </c>
      <c r="C32" s="62">
        <v>0.6481509042670146</v>
      </c>
      <c r="D32" s="62">
        <v>0.36841023604330714</v>
      </c>
      <c r="E32" s="62">
        <v>0.12608050916884878</v>
      </c>
      <c r="F32" s="62">
        <v>0.77138616736986809</v>
      </c>
      <c r="G32" s="62">
        <v>0.76619762870380459</v>
      </c>
    </row>
    <row r="33" spans="2:7" ht="13" x14ac:dyDescent="0.25">
      <c r="B33" s="61">
        <v>0.7</v>
      </c>
      <c r="C33" s="62">
        <v>0.68311249445242916</v>
      </c>
      <c r="D33" s="62">
        <v>0.3557893760638855</v>
      </c>
      <c r="E33" s="62">
        <v>0.12957486820084985</v>
      </c>
      <c r="F33" s="62">
        <v>0.77553894177956906</v>
      </c>
      <c r="G33" s="62">
        <v>0.82464822152785344</v>
      </c>
    </row>
    <row r="34" spans="2:7" ht="13" x14ac:dyDescent="0.25">
      <c r="B34" s="61">
        <v>0.8</v>
      </c>
      <c r="C34" s="62">
        <v>0.71807408463784361</v>
      </c>
      <c r="D34" s="62">
        <v>0.3431685160844638</v>
      </c>
      <c r="E34" s="62">
        <v>0.13306922723285089</v>
      </c>
      <c r="F34" s="62">
        <v>0.77969171618927025</v>
      </c>
      <c r="G34" s="62">
        <v>0.88309881435190218</v>
      </c>
    </row>
    <row r="35" spans="2:7" ht="13" x14ac:dyDescent="0.25">
      <c r="B35" s="61">
        <v>0.9</v>
      </c>
      <c r="C35" s="62">
        <v>0.75303567482325795</v>
      </c>
      <c r="D35" s="62">
        <v>0.330547656105042</v>
      </c>
      <c r="E35" s="62">
        <v>0.13656358626485196</v>
      </c>
      <c r="F35" s="62">
        <v>0.78384449059897132</v>
      </c>
      <c r="G35" s="62">
        <v>0.94154940717595115</v>
      </c>
    </row>
    <row r="36" spans="2:7" ht="13" x14ac:dyDescent="0.25">
      <c r="B36" s="61">
        <v>1</v>
      </c>
      <c r="C36" s="62">
        <v>0.7879972650086724</v>
      </c>
      <c r="D36" s="62">
        <v>0.31792679612562036</v>
      </c>
      <c r="E36" s="62">
        <v>0.140057945296853</v>
      </c>
      <c r="F36" s="62">
        <v>0.7879972650086724</v>
      </c>
      <c r="G36" s="62">
        <v>1</v>
      </c>
    </row>
    <row r="37" spans="2:7" x14ac:dyDescent="0.25">
      <c r="B37" s="51"/>
      <c r="C37" s="52"/>
      <c r="D37" s="52"/>
      <c r="E37" s="52"/>
    </row>
    <row r="38" spans="2:7" x14ac:dyDescent="0.25">
      <c r="B38" s="51"/>
      <c r="C38" s="52"/>
      <c r="D38" s="52"/>
      <c r="E38" s="52"/>
    </row>
    <row r="39" spans="2:7" x14ac:dyDescent="0.25">
      <c r="B39" s="51"/>
      <c r="C39" s="52"/>
      <c r="D39" s="52"/>
      <c r="E39" s="52"/>
    </row>
    <row r="40" spans="2:7" x14ac:dyDescent="0.25">
      <c r="B40" s="51"/>
      <c r="C40" s="52"/>
      <c r="D40" s="52"/>
      <c r="E40" s="52"/>
    </row>
    <row r="41" spans="2:7" x14ac:dyDescent="0.25">
      <c r="B41" s="51"/>
      <c r="C41" s="52"/>
      <c r="D41" s="52"/>
      <c r="E41" s="52"/>
    </row>
    <row r="42" spans="2:7" x14ac:dyDescent="0.25">
      <c r="B42" s="51"/>
      <c r="C42" s="52"/>
      <c r="D42" s="52"/>
      <c r="E42" s="52"/>
    </row>
    <row r="43" spans="2:7" x14ac:dyDescent="0.25">
      <c r="B43" s="51"/>
      <c r="C43" s="52"/>
      <c r="D43" s="52"/>
      <c r="E43" s="52"/>
    </row>
    <row r="44" spans="2:7" x14ac:dyDescent="0.25">
      <c r="B44" s="51"/>
      <c r="C44" s="52"/>
      <c r="D44" s="52"/>
      <c r="E44" s="52"/>
    </row>
    <row r="45" spans="2:7" x14ac:dyDescent="0.25">
      <c r="B45" s="51"/>
      <c r="C45" s="52"/>
      <c r="D45" s="52"/>
      <c r="E45" s="52"/>
    </row>
    <row r="46" spans="2:7" x14ac:dyDescent="0.25">
      <c r="B46" s="51"/>
      <c r="C46" s="52"/>
      <c r="D46" s="52"/>
      <c r="E46" s="52"/>
    </row>
    <row r="47" spans="2:7" x14ac:dyDescent="0.25">
      <c r="B47" s="51"/>
      <c r="C47" s="52"/>
      <c r="D47" s="52"/>
      <c r="E47" s="52"/>
    </row>
    <row r="50" spans="2:7" ht="13" x14ac:dyDescent="0.25">
      <c r="B50" s="13" t="s">
        <v>3</v>
      </c>
      <c r="C50" s="59" t="s">
        <v>29</v>
      </c>
      <c r="D50" s="59" t="s">
        <v>30</v>
      </c>
      <c r="E50" s="59" t="s">
        <v>31</v>
      </c>
      <c r="F50" s="59" t="s">
        <v>32</v>
      </c>
      <c r="G50" s="59" t="s">
        <v>33</v>
      </c>
    </row>
    <row r="51" spans="2:7" ht="13" x14ac:dyDescent="0.25">
      <c r="B51" s="60"/>
      <c r="C51" s="60">
        <f t="array" aca="1" ref="C51:G51" ca="1">TRANSPOSE(MMULT(C16:F20, E7:E10))</f>
        <v>0.63591751305423549</v>
      </c>
      <c r="D51" s="60">
        <f ca="1"/>
        <v>0.37282639436880538</v>
      </c>
      <c r="E51" s="60">
        <f ca="1"/>
        <v>0.12485779987989286</v>
      </c>
      <c r="F51" s="60">
        <f ca="1"/>
        <v>0.76993307231032215</v>
      </c>
      <c r="G51" s="60">
        <f ca="1"/>
        <v>0.74574521321459819</v>
      </c>
    </row>
    <row r="52" spans="2:7" ht="13" x14ac:dyDescent="0.25">
      <c r="B52" s="61">
        <v>0</v>
      </c>
      <c r="C52" s="62">
        <f t="dataTable" ref="C52:G62" dt2D="0" dtr="0" r1="E8" ca="1"/>
        <v>0.58743995428551077</v>
      </c>
      <c r="D52" s="62">
        <v>0.39687341334457232</v>
      </c>
      <c r="E52" s="62">
        <v>0.13101418846757787</v>
      </c>
      <c r="F52" s="62">
        <v>0.80947360248076861</v>
      </c>
      <c r="G52" s="62">
        <v>0.81944634796016147</v>
      </c>
    </row>
    <row r="53" spans="2:7" ht="13" x14ac:dyDescent="0.25">
      <c r="B53" s="61">
        <v>0.1</v>
      </c>
      <c r="C53" s="62">
        <v>0.62869595885695961</v>
      </c>
      <c r="D53" s="62">
        <v>0.37640860550375338</v>
      </c>
      <c r="E53" s="62">
        <v>0.12577489832656918</v>
      </c>
      <c r="F53" s="62">
        <v>0.77582330459238003</v>
      </c>
      <c r="G53" s="62">
        <v>0.75672424665778371</v>
      </c>
    </row>
    <row r="54" spans="2:7" ht="13" x14ac:dyDescent="0.25">
      <c r="B54" s="61">
        <v>0.2</v>
      </c>
      <c r="C54" s="62">
        <v>0.66995196342840868</v>
      </c>
      <c r="D54" s="62">
        <v>0.35594379766293449</v>
      </c>
      <c r="E54" s="62">
        <v>0.12053560818556053</v>
      </c>
      <c r="F54" s="62">
        <v>0.74217300670399167</v>
      </c>
      <c r="G54" s="62">
        <v>0.69400214535540583</v>
      </c>
    </row>
    <row r="55" spans="2:7" ht="13" x14ac:dyDescent="0.25">
      <c r="B55" s="61">
        <v>0.3</v>
      </c>
      <c r="C55" s="62">
        <v>0.71120796799985753</v>
      </c>
      <c r="D55" s="62">
        <v>0.33547898982211549</v>
      </c>
      <c r="E55" s="62">
        <v>0.11529631804455179</v>
      </c>
      <c r="F55" s="62">
        <v>0.70852270881560298</v>
      </c>
      <c r="G55" s="62">
        <v>0.63128004405302796</v>
      </c>
    </row>
    <row r="56" spans="2:7" ht="13" x14ac:dyDescent="0.25">
      <c r="B56" s="61">
        <v>0.4</v>
      </c>
      <c r="C56" s="62">
        <v>0.75246397257130637</v>
      </c>
      <c r="D56" s="62">
        <v>0.3150141819812966</v>
      </c>
      <c r="E56" s="62">
        <v>0.11005702790354313</v>
      </c>
      <c r="F56" s="62">
        <v>0.67487241092721462</v>
      </c>
      <c r="G56" s="62">
        <v>0.56855794275065019</v>
      </c>
    </row>
    <row r="57" spans="2:7" ht="13" x14ac:dyDescent="0.25">
      <c r="B57" s="61">
        <v>0.5</v>
      </c>
      <c r="C57" s="62">
        <v>0.79371997714275533</v>
      </c>
      <c r="D57" s="62">
        <v>0.29454937414047766</v>
      </c>
      <c r="E57" s="62">
        <v>0.10481773776253445</v>
      </c>
      <c r="F57" s="62">
        <v>0.64122211303882615</v>
      </c>
      <c r="G57" s="62">
        <v>0.50583584144827221</v>
      </c>
    </row>
    <row r="58" spans="2:7" ht="13" x14ac:dyDescent="0.25">
      <c r="B58" s="61">
        <v>0.6</v>
      </c>
      <c r="C58" s="62">
        <v>0.8349759817142044</v>
      </c>
      <c r="D58" s="62">
        <v>0.27408456629965877</v>
      </c>
      <c r="E58" s="62">
        <v>9.9578447621525762E-2</v>
      </c>
      <c r="F58" s="62">
        <v>0.60757181515043768</v>
      </c>
      <c r="G58" s="62">
        <v>0.44311374014589444</v>
      </c>
    </row>
    <row r="59" spans="2:7" ht="13" x14ac:dyDescent="0.25">
      <c r="B59" s="61">
        <v>0.7</v>
      </c>
      <c r="C59" s="62">
        <v>0.87623198628565313</v>
      </c>
      <c r="D59" s="62">
        <v>0.25361975845883983</v>
      </c>
      <c r="E59" s="62">
        <v>9.4339157480517077E-2</v>
      </c>
      <c r="F59" s="62">
        <v>0.5739215172620491</v>
      </c>
      <c r="G59" s="62">
        <v>0.38039163884351662</v>
      </c>
    </row>
    <row r="60" spans="2:7" ht="13" x14ac:dyDescent="0.25">
      <c r="B60" s="61">
        <v>0.8</v>
      </c>
      <c r="C60" s="62">
        <v>0.9174879908571022</v>
      </c>
      <c r="D60" s="62">
        <v>0.23315495061802091</v>
      </c>
      <c r="E60" s="62">
        <v>8.9099867339508407E-2</v>
      </c>
      <c r="F60" s="62">
        <v>0.54027121937366063</v>
      </c>
      <c r="G60" s="62">
        <v>0.31766953754113869</v>
      </c>
    </row>
    <row r="61" spans="2:7" ht="13" x14ac:dyDescent="0.25">
      <c r="B61" s="61">
        <v>0.9</v>
      </c>
      <c r="C61" s="62">
        <v>0.95874399542855104</v>
      </c>
      <c r="D61" s="62">
        <v>0.21269014277720194</v>
      </c>
      <c r="E61" s="62">
        <v>8.3860577198499708E-2</v>
      </c>
      <c r="F61" s="62">
        <v>0.50662092148527216</v>
      </c>
      <c r="G61" s="62">
        <v>0.25494743623876087</v>
      </c>
    </row>
    <row r="62" spans="2:7" ht="13" x14ac:dyDescent="0.25">
      <c r="B62" s="61">
        <v>1</v>
      </c>
      <c r="C62" s="62">
        <v>1</v>
      </c>
      <c r="D62" s="62">
        <v>0.19222533493638305</v>
      </c>
      <c r="E62" s="62">
        <v>7.8621287057491038E-2</v>
      </c>
      <c r="F62" s="62">
        <v>0.47297062359688363</v>
      </c>
      <c r="G62" s="62">
        <v>0.19222533493638305</v>
      </c>
    </row>
    <row r="63" spans="2:7" x14ac:dyDescent="0.25">
      <c r="F63" s="52"/>
    </row>
    <row r="64" spans="2:7" x14ac:dyDescent="0.25">
      <c r="F64" s="52"/>
    </row>
    <row r="65" spans="2:7" x14ac:dyDescent="0.25">
      <c r="F65" s="52"/>
    </row>
    <row r="66" spans="2:7" x14ac:dyDescent="0.25">
      <c r="F66" s="52"/>
    </row>
    <row r="67" spans="2:7" x14ac:dyDescent="0.25">
      <c r="F67" s="52"/>
    </row>
    <row r="68" spans="2:7" x14ac:dyDescent="0.25">
      <c r="F68" s="52"/>
    </row>
    <row r="69" spans="2:7" x14ac:dyDescent="0.25">
      <c r="F69" s="52"/>
    </row>
    <row r="70" spans="2:7" x14ac:dyDescent="0.25">
      <c r="F70" s="52"/>
    </row>
    <row r="71" spans="2:7" x14ac:dyDescent="0.25">
      <c r="F71" s="52"/>
    </row>
    <row r="72" spans="2:7" x14ac:dyDescent="0.25">
      <c r="F72" s="52"/>
    </row>
    <row r="75" spans="2:7" x14ac:dyDescent="0.25">
      <c r="F75" s="52"/>
    </row>
    <row r="76" spans="2:7" ht="13" x14ac:dyDescent="0.25">
      <c r="B76" s="13" t="s">
        <v>4</v>
      </c>
      <c r="C76" s="59" t="s">
        <v>29</v>
      </c>
      <c r="D76" s="59" t="s">
        <v>30</v>
      </c>
      <c r="E76" s="59" t="s">
        <v>31</v>
      </c>
      <c r="F76" s="59" t="s">
        <v>32</v>
      </c>
      <c r="G76" s="59" t="s">
        <v>33</v>
      </c>
    </row>
    <row r="77" spans="2:7" ht="13" x14ac:dyDescent="0.25">
      <c r="B77" s="60"/>
      <c r="C77" s="60">
        <f t="array" aca="1" ref="C77:G77" ca="1">TRANSPOSE(MMULT(C16:F20, F7:F10))</f>
        <v>0.63591751305423549</v>
      </c>
      <c r="D77" s="60">
        <f ca="1"/>
        <v>0.37282639436880538</v>
      </c>
      <c r="E77" s="60">
        <f ca="1"/>
        <v>0.12485779987989286</v>
      </c>
      <c r="F77" s="60">
        <f ca="1"/>
        <v>0.76993307231032215</v>
      </c>
      <c r="G77" s="60">
        <f ca="1"/>
        <v>0.74574521321459819</v>
      </c>
    </row>
    <row r="78" spans="2:7" ht="13" x14ac:dyDescent="0.25">
      <c r="B78" s="61">
        <v>0</v>
      </c>
      <c r="C78" s="62">
        <f t="dataTable" ref="C78:G88" dt2D="0" dtr="0" r1="F9" ca="1"/>
        <v>0.65021206469424886</v>
      </c>
      <c r="D78" s="62">
        <v>0.33612366552023865</v>
      </c>
      <c r="E78" s="62">
        <v>0.11741560033811556</v>
      </c>
      <c r="F78" s="62">
        <v>0.80765442415037747</v>
      </c>
      <c r="G78" s="62">
        <v>0.74405381977071261</v>
      </c>
    </row>
    <row r="79" spans="2:7" ht="13" x14ac:dyDescent="0.25">
      <c r="B79" s="61">
        <v>0.1</v>
      </c>
      <c r="C79" s="62">
        <v>0.62435618192063225</v>
      </c>
      <c r="D79" s="62">
        <v>0.40251129896821475</v>
      </c>
      <c r="E79" s="62">
        <v>0.130876997643605</v>
      </c>
      <c r="F79" s="62">
        <v>0.7394243127204605</v>
      </c>
      <c r="G79" s="62">
        <v>0.74711320013537907</v>
      </c>
    </row>
    <row r="80" spans="2:7" ht="13" x14ac:dyDescent="0.25">
      <c r="B80" s="61">
        <v>0.2</v>
      </c>
      <c r="C80" s="62">
        <v>0.59850029914701575</v>
      </c>
      <c r="D80" s="62">
        <v>0.46889893241619091</v>
      </c>
      <c r="E80" s="62">
        <v>0.14433839494909442</v>
      </c>
      <c r="F80" s="62">
        <v>0.67119420129054386</v>
      </c>
      <c r="G80" s="62">
        <v>0.75017258050004565</v>
      </c>
    </row>
    <row r="81" spans="2:7" ht="13" x14ac:dyDescent="0.25">
      <c r="B81" s="61">
        <v>0.3</v>
      </c>
      <c r="C81" s="62">
        <v>0.57264441637339902</v>
      </c>
      <c r="D81" s="62">
        <v>0.53528656586416701</v>
      </c>
      <c r="E81" s="62">
        <v>0.15779979225458385</v>
      </c>
      <c r="F81" s="62">
        <v>0.60296408986062699</v>
      </c>
      <c r="G81" s="62">
        <v>0.75323196086471211</v>
      </c>
    </row>
    <row r="82" spans="2:7" ht="13" x14ac:dyDescent="0.25">
      <c r="B82" s="61">
        <v>0.4</v>
      </c>
      <c r="C82" s="62">
        <v>0.54678853359978252</v>
      </c>
      <c r="D82" s="62">
        <v>0.60167419931214317</v>
      </c>
      <c r="E82" s="62">
        <v>0.1712611895600733</v>
      </c>
      <c r="F82" s="62">
        <v>0.53473397843071024</v>
      </c>
      <c r="G82" s="62">
        <v>0.75629134122937858</v>
      </c>
    </row>
    <row r="83" spans="2:7" ht="13" x14ac:dyDescent="0.25">
      <c r="B83" s="61">
        <v>0.5</v>
      </c>
      <c r="C83" s="62">
        <v>0.52093265082616591</v>
      </c>
      <c r="D83" s="62">
        <v>0.66806183276011932</v>
      </c>
      <c r="E83" s="62">
        <v>0.1847225868655627</v>
      </c>
      <c r="F83" s="62">
        <v>0.46650386700079355</v>
      </c>
      <c r="G83" s="62">
        <v>0.75935072159404515</v>
      </c>
    </row>
    <row r="84" spans="2:7" ht="13" x14ac:dyDescent="0.25">
      <c r="B84" s="61">
        <v>0.6</v>
      </c>
      <c r="C84" s="62">
        <v>0.4950767680525493</v>
      </c>
      <c r="D84" s="62">
        <v>0.73444946620809537</v>
      </c>
      <c r="E84" s="62">
        <v>0.19818398417105212</v>
      </c>
      <c r="F84" s="62">
        <v>0.39827375557087669</v>
      </c>
      <c r="G84" s="62">
        <v>0.76241010195871173</v>
      </c>
    </row>
    <row r="85" spans="2:7" ht="13" x14ac:dyDescent="0.25">
      <c r="B85" s="61">
        <v>0.7</v>
      </c>
      <c r="C85" s="62">
        <v>0.46922088527893274</v>
      </c>
      <c r="D85" s="62">
        <v>0.80083709965607153</v>
      </c>
      <c r="E85" s="62">
        <v>0.21164538147654155</v>
      </c>
      <c r="F85" s="62">
        <v>0.33004364414095999</v>
      </c>
      <c r="G85" s="62">
        <v>0.76546948232337819</v>
      </c>
    </row>
    <row r="86" spans="2:7" ht="13" x14ac:dyDescent="0.25">
      <c r="B86" s="61">
        <v>0.8</v>
      </c>
      <c r="C86" s="62">
        <v>0.44336500250531607</v>
      </c>
      <c r="D86" s="62">
        <v>0.86722473310404768</v>
      </c>
      <c r="E86" s="62">
        <v>0.225106778782031</v>
      </c>
      <c r="F86" s="62">
        <v>0.26181353271104313</v>
      </c>
      <c r="G86" s="62">
        <v>0.76852886268804466</v>
      </c>
    </row>
    <row r="87" spans="2:7" ht="13" x14ac:dyDescent="0.25">
      <c r="B87" s="61">
        <v>0.9</v>
      </c>
      <c r="C87" s="62">
        <v>0.41750911973169952</v>
      </c>
      <c r="D87" s="62">
        <v>0.93361236655202395</v>
      </c>
      <c r="E87" s="62">
        <v>0.23856817608752046</v>
      </c>
      <c r="F87" s="62">
        <v>0.19358342128112635</v>
      </c>
      <c r="G87" s="62">
        <v>0.77158824305271123</v>
      </c>
    </row>
    <row r="88" spans="2:7" ht="13" x14ac:dyDescent="0.25">
      <c r="B88" s="61">
        <v>1</v>
      </c>
      <c r="C88" s="62">
        <v>0.39165323695808291</v>
      </c>
      <c r="D88" s="62">
        <v>1</v>
      </c>
      <c r="E88" s="62">
        <v>0.25202957339300985</v>
      </c>
      <c r="F88" s="62">
        <v>0.1253533098512096</v>
      </c>
      <c r="G88" s="62">
        <v>0.7746476234173777</v>
      </c>
    </row>
    <row r="101" spans="2:7" x14ac:dyDescent="0.25">
      <c r="F101" s="52"/>
    </row>
    <row r="102" spans="2:7" ht="13" x14ac:dyDescent="0.25">
      <c r="B102" s="13" t="s">
        <v>5</v>
      </c>
      <c r="C102" s="59" t="s">
        <v>29</v>
      </c>
      <c r="D102" s="59" t="s">
        <v>30</v>
      </c>
      <c r="E102" s="59" t="s">
        <v>31</v>
      </c>
      <c r="F102" s="59" t="s">
        <v>32</v>
      </c>
      <c r="G102" s="59" t="s">
        <v>33</v>
      </c>
    </row>
    <row r="103" spans="2:7" ht="13" x14ac:dyDescent="0.25">
      <c r="B103" s="60"/>
      <c r="C103" s="60">
        <f t="array" aca="1" ref="C103:G103" ca="1">TRANSPOSE(MMULT(C16:F20, G7:G10))</f>
        <v>0.63591751305423549</v>
      </c>
      <c r="D103" s="60">
        <f ca="1"/>
        <v>0.37282639436880538</v>
      </c>
      <c r="E103" s="60">
        <f ca="1"/>
        <v>0.12485779987989286</v>
      </c>
      <c r="F103" s="60">
        <f ca="1"/>
        <v>0.76993307231032215</v>
      </c>
      <c r="G103" s="60">
        <f ca="1"/>
        <v>0.74574521321459819</v>
      </c>
    </row>
    <row r="104" spans="2:7" ht="13" x14ac:dyDescent="0.25">
      <c r="B104" s="61">
        <v>0</v>
      </c>
      <c r="C104" s="62">
        <f t="dataTable" ref="C104:G114" dt2D="0" dtr="0" r1="G10" ca="1"/>
        <v>0.79206225992036372</v>
      </c>
      <c r="D104" s="62">
        <v>0.3490169740266259</v>
      </c>
      <c r="E104" s="62">
        <v>0.13866371415038059</v>
      </c>
      <c r="F104" s="62">
        <v>0.68817117969868935</v>
      </c>
      <c r="G104" s="62">
        <v>0.85446483007698992</v>
      </c>
    </row>
    <row r="105" spans="2:7" ht="13" x14ac:dyDescent="0.25">
      <c r="B105" s="61">
        <v>0.1</v>
      </c>
      <c r="C105" s="62">
        <v>0.73251076147011385</v>
      </c>
      <c r="D105" s="62">
        <v>0.358097565510272</v>
      </c>
      <c r="E105" s="62">
        <v>0.13339832483191622</v>
      </c>
      <c r="F105" s="62">
        <v>0.71935406172882033</v>
      </c>
      <c r="G105" s="62">
        <v>0.81300063595559968</v>
      </c>
    </row>
    <row r="106" spans="2:7" ht="13" x14ac:dyDescent="0.25">
      <c r="B106" s="61">
        <v>0.2</v>
      </c>
      <c r="C106" s="62">
        <v>0.6729592630198642</v>
      </c>
      <c r="D106" s="62">
        <v>0.3671781569939182</v>
      </c>
      <c r="E106" s="62">
        <v>0.12813293551345187</v>
      </c>
      <c r="F106" s="62">
        <v>0.75053694375895152</v>
      </c>
      <c r="G106" s="62">
        <v>0.77153644183420955</v>
      </c>
    </row>
    <row r="107" spans="2:7" ht="13" x14ac:dyDescent="0.25">
      <c r="B107" s="61">
        <v>0.3</v>
      </c>
      <c r="C107" s="62">
        <v>0.6134077645696141</v>
      </c>
      <c r="D107" s="62">
        <v>0.37625874847756435</v>
      </c>
      <c r="E107" s="62">
        <v>0.12286754619498749</v>
      </c>
      <c r="F107" s="62">
        <v>0.78171982578908239</v>
      </c>
      <c r="G107" s="62">
        <v>0.73007224771281909</v>
      </c>
    </row>
    <row r="108" spans="2:7" ht="13" x14ac:dyDescent="0.25">
      <c r="B108" s="61">
        <v>0.4</v>
      </c>
      <c r="C108" s="62">
        <v>0.55385626611936434</v>
      </c>
      <c r="D108" s="62">
        <v>0.3853393399612105</v>
      </c>
      <c r="E108" s="62">
        <v>0.11760215687652315</v>
      </c>
      <c r="F108" s="62">
        <v>0.81290270781921359</v>
      </c>
      <c r="G108" s="62">
        <v>0.68860805359142896</v>
      </c>
    </row>
    <row r="109" spans="2:7" ht="13" x14ac:dyDescent="0.25">
      <c r="B109" s="61">
        <v>0.5</v>
      </c>
      <c r="C109" s="62">
        <v>0.49430476766911446</v>
      </c>
      <c r="D109" s="62">
        <v>0.39441993144485665</v>
      </c>
      <c r="E109" s="62">
        <v>0.11233676755805874</v>
      </c>
      <c r="F109" s="62">
        <v>0.84408558984934468</v>
      </c>
      <c r="G109" s="62">
        <v>0.64714385947003872</v>
      </c>
    </row>
    <row r="110" spans="2:7" ht="13" x14ac:dyDescent="0.25">
      <c r="B110" s="61">
        <v>0.6</v>
      </c>
      <c r="C110" s="62">
        <v>0.4347532692188647</v>
      </c>
      <c r="D110" s="62">
        <v>0.4035005229285028</v>
      </c>
      <c r="E110" s="62">
        <v>0.10707137823959438</v>
      </c>
      <c r="F110" s="62">
        <v>0.87526847187947576</v>
      </c>
      <c r="G110" s="62">
        <v>0.60567966534864848</v>
      </c>
    </row>
    <row r="111" spans="2:7" ht="13" x14ac:dyDescent="0.25">
      <c r="B111" s="61">
        <v>0.7</v>
      </c>
      <c r="C111" s="62">
        <v>0.37520177076861483</v>
      </c>
      <c r="D111" s="62">
        <v>0.41258111441214895</v>
      </c>
      <c r="E111" s="62">
        <v>0.10180598892113002</v>
      </c>
      <c r="F111" s="62">
        <v>0.90645135390960674</v>
      </c>
      <c r="G111" s="62">
        <v>0.56421547122725824</v>
      </c>
    </row>
    <row r="112" spans="2:7" ht="13" x14ac:dyDescent="0.25">
      <c r="B112" s="61">
        <v>0.8</v>
      </c>
      <c r="C112" s="62">
        <v>0.31565027231836496</v>
      </c>
      <c r="D112" s="62">
        <v>0.4216617058957951</v>
      </c>
      <c r="E112" s="62">
        <v>9.6540599602665644E-2</v>
      </c>
      <c r="F112" s="62">
        <v>0.93763423593973783</v>
      </c>
      <c r="G112" s="62">
        <v>0.52275127710586788</v>
      </c>
    </row>
    <row r="113" spans="2:7" ht="13" x14ac:dyDescent="0.25">
      <c r="B113" s="61">
        <v>0.9</v>
      </c>
      <c r="C113" s="62">
        <v>0.25609877386811508</v>
      </c>
      <c r="D113" s="62">
        <v>0.43074229737944125</v>
      </c>
      <c r="E113" s="62">
        <v>9.1275210284201283E-2</v>
      </c>
      <c r="F113" s="62">
        <v>0.96881711796986891</v>
      </c>
      <c r="G113" s="62">
        <v>0.48128708298447764</v>
      </c>
    </row>
    <row r="114" spans="2:7" ht="13" x14ac:dyDescent="0.25">
      <c r="B114" s="61">
        <v>1</v>
      </c>
      <c r="C114" s="62">
        <v>0.19654727541786526</v>
      </c>
      <c r="D114" s="62">
        <v>0.4398228888630874</v>
      </c>
      <c r="E114" s="62">
        <v>8.6009820965736908E-2</v>
      </c>
      <c r="F114" s="62">
        <v>1</v>
      </c>
      <c r="G114" s="62">
        <v>0.4398228888630874</v>
      </c>
    </row>
    <row r="115" spans="2:7" x14ac:dyDescent="0.25">
      <c r="F115" s="52"/>
    </row>
    <row r="116" spans="2:7" x14ac:dyDescent="0.25">
      <c r="F116" s="52"/>
    </row>
    <row r="117" spans="2:7" x14ac:dyDescent="0.25">
      <c r="F117" s="52"/>
    </row>
    <row r="118" spans="2:7" x14ac:dyDescent="0.25">
      <c r="F118" s="52"/>
    </row>
    <row r="119" spans="2:7" x14ac:dyDescent="0.25">
      <c r="F119" s="52"/>
    </row>
    <row r="120" spans="2:7" x14ac:dyDescent="0.25">
      <c r="F120" s="52"/>
    </row>
    <row r="121" spans="2:7" x14ac:dyDescent="0.25">
      <c r="F121" s="52"/>
    </row>
    <row r="122" spans="2:7" x14ac:dyDescent="0.25">
      <c r="F122" s="52"/>
    </row>
    <row r="123" spans="2:7" x14ac:dyDescent="0.25">
      <c r="F123" s="52"/>
    </row>
  </sheetData>
  <mergeCells count="5">
    <mergeCell ref="B5:B6"/>
    <mergeCell ref="C5:C6"/>
    <mergeCell ref="D5:G5"/>
    <mergeCell ref="C14:F14"/>
    <mergeCell ref="G14:G15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Ratings System (Algebra)</vt:lpstr>
      <vt:lpstr>Evaluation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2024-08-28T05:21:30Z</dcterms:modified>
</cp:coreProperties>
</file>