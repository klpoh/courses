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/>
  <xr:revisionPtr revIDLastSave="0" documentId="13_ncr:1_{5962E33E-208D-4A2B-B913-131B1D06E1CD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Base model (UDF Power)" sheetId="1" r:id="rId1"/>
    <sheet name="Summary of Results" sheetId="6" r:id="rId2"/>
    <sheet name="Sensitivity Analysis" sheetId="2" r:id="rId3"/>
  </sheets>
  <functionGroups builtInGroupCount="19"/>
  <calcPr calcId="191029" iterate="1" iterateCount="500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2" l="1"/>
  <c r="H10" i="2"/>
  <c r="G9" i="2"/>
  <c r="F8" i="2"/>
  <c r="E7" i="2"/>
  <c r="D6" i="2"/>
  <c r="F44" i="1" l="1"/>
  <c r="C72" i="1" l="1"/>
  <c r="B72" i="1"/>
  <c r="B71" i="1"/>
  <c r="C62" i="1"/>
  <c r="B62" i="1"/>
  <c r="B61" i="1"/>
  <c r="C50" i="1"/>
  <c r="C52" i="1"/>
  <c r="B52" i="1"/>
  <c r="D41" i="1"/>
  <c r="D40" i="1"/>
  <c r="B41" i="1"/>
  <c r="D31" i="1"/>
  <c r="D30" i="1"/>
  <c r="C30" i="1"/>
  <c r="C22" i="1"/>
  <c r="D20" i="1"/>
  <c r="C20" i="1"/>
  <c r="F12" i="1"/>
  <c r="D11" i="1"/>
  <c r="D10" i="1"/>
  <c r="C11" i="1"/>
  <c r="C10" i="1"/>
  <c r="C9" i="1"/>
  <c r="B11" i="1"/>
  <c r="B10" i="1"/>
  <c r="B9" i="1"/>
  <c r="B8" i="1"/>
  <c r="G10" i="1"/>
  <c r="F10" i="1"/>
  <c r="E11" i="1" s="1"/>
  <c r="G9" i="1"/>
  <c r="D12" i="1" s="1"/>
  <c r="G8" i="1"/>
  <c r="C12" i="1" s="1"/>
  <c r="G7" i="1"/>
  <c r="E60" i="1" a="1"/>
  <c r="E70" i="1" a="1"/>
  <c r="E63" i="1" l="1"/>
  <c r="E61" i="1"/>
  <c r="E64" i="1"/>
  <c r="F64" i="1" s="1"/>
  <c r="E60" i="1"/>
  <c r="E62" i="1"/>
  <c r="E73" i="1"/>
  <c r="E72" i="1"/>
  <c r="E71" i="1"/>
  <c r="E70" i="1"/>
  <c r="E74" i="1"/>
  <c r="F74" i="1" s="1"/>
  <c r="E12" i="1"/>
  <c r="C32" i="1"/>
  <c r="C42" i="1"/>
  <c r="B22" i="1"/>
  <c r="B21" i="1"/>
  <c r="B51" i="1"/>
  <c r="B42" i="1"/>
  <c r="B31" i="1"/>
  <c r="B12" i="1"/>
  <c r="B32" i="1"/>
  <c r="E20" i="1" a="1"/>
  <c r="E30" i="1" a="1"/>
  <c r="E50" i="1" a="1"/>
  <c r="H7" i="1" a="1"/>
  <c r="E40" i="1" a="1"/>
  <c r="E20" i="1" l="1"/>
  <c r="B79" i="1" s="1"/>
  <c r="E21" i="1"/>
  <c r="E22" i="1"/>
  <c r="E23" i="1"/>
  <c r="E24" i="1"/>
  <c r="F24" i="1" s="1"/>
  <c r="E44" i="1"/>
  <c r="E40" i="1"/>
  <c r="E17" i="2" s="1"/>
  <c r="E43" i="1"/>
  <c r="E42" i="1"/>
  <c r="E41" i="1"/>
  <c r="E32" i="1"/>
  <c r="E17" i="6" s="1"/>
  <c r="E30" i="1"/>
  <c r="E34" i="1"/>
  <c r="F34" i="1" s="1"/>
  <c r="E33" i="1"/>
  <c r="E31" i="1"/>
  <c r="H7" i="1"/>
  <c r="H13" i="1"/>
  <c r="H8" i="1"/>
  <c r="H9" i="1"/>
  <c r="H10" i="1"/>
  <c r="H11" i="1"/>
  <c r="H12" i="1"/>
  <c r="C31" i="6" s="1"/>
  <c r="H14" i="1"/>
  <c r="I14" i="1" s="1"/>
  <c r="E50" i="1"/>
  <c r="E23" i="6" s="1"/>
  <c r="E51" i="1"/>
  <c r="E54" i="1"/>
  <c r="F54" i="1" s="1"/>
  <c r="E53" i="1"/>
  <c r="E52" i="1"/>
  <c r="E25" i="6" s="1"/>
  <c r="F19" i="2"/>
  <c r="E18" i="2"/>
  <c r="E29" i="6"/>
  <c r="G19" i="2"/>
  <c r="E31" i="6"/>
  <c r="H17" i="2"/>
  <c r="H19" i="2"/>
  <c r="E33" i="6"/>
  <c r="H18" i="2"/>
  <c r="E32" i="6"/>
  <c r="E81" i="1"/>
  <c r="F81" i="1"/>
  <c r="E11" i="6" l="1"/>
  <c r="C17" i="2"/>
  <c r="F17" i="2"/>
  <c r="E19" i="6"/>
  <c r="C11" i="2"/>
  <c r="E20" i="6"/>
  <c r="D19" i="2"/>
  <c r="E24" i="6"/>
  <c r="F18" i="2"/>
  <c r="E27" i="6"/>
  <c r="G17" i="2"/>
  <c r="C19" i="2"/>
  <c r="E13" i="6"/>
  <c r="E80" i="1"/>
  <c r="H20" i="2"/>
  <c r="E16" i="6"/>
  <c r="D18" i="2"/>
  <c r="E21" i="6"/>
  <c r="E19" i="2"/>
  <c r="E20" i="2" s="1"/>
  <c r="E12" i="6"/>
  <c r="C18" i="2"/>
  <c r="C7" i="2"/>
  <c r="C15" i="6"/>
  <c r="E15" i="6"/>
  <c r="D17" i="2"/>
  <c r="C23" i="6"/>
  <c r="C9" i="2"/>
  <c r="E28" i="6"/>
  <c r="G18" i="2"/>
  <c r="F80" i="1"/>
  <c r="C11" i="6"/>
  <c r="C6" i="2"/>
  <c r="C8" i="2"/>
  <c r="C19" i="6"/>
  <c r="C27" i="6"/>
  <c r="C10" i="2"/>
  <c r="D79" i="1"/>
  <c r="E79" i="1"/>
  <c r="D80" i="1"/>
  <c r="D81" i="1"/>
  <c r="G80" i="1"/>
  <c r="G81" i="1"/>
  <c r="B80" i="1"/>
  <c r="B81" i="1"/>
  <c r="F79" i="1"/>
  <c r="F20" i="2" l="1"/>
  <c r="I7" i="2"/>
  <c r="C20" i="2"/>
  <c r="I9" i="2"/>
  <c r="D20" i="2"/>
  <c r="I8" i="2"/>
  <c r="I10" i="2"/>
  <c r="E10" i="2"/>
  <c r="E11" i="2"/>
  <c r="E9" i="2"/>
  <c r="E6" i="2"/>
  <c r="E8" i="2"/>
  <c r="F10" i="2"/>
  <c r="F6" i="2"/>
  <c r="F7" i="2"/>
  <c r="F11" i="2"/>
  <c r="F9" i="2"/>
  <c r="G20" i="2"/>
  <c r="H7" i="2"/>
  <c r="H8" i="2"/>
  <c r="H11" i="2"/>
  <c r="H9" i="2"/>
  <c r="H6" i="2"/>
  <c r="G10" i="2"/>
  <c r="G6" i="2"/>
  <c r="G8" i="2"/>
  <c r="G7" i="2"/>
  <c r="G11" i="2"/>
  <c r="I17" i="2" a="1"/>
  <c r="D10" i="2"/>
  <c r="D11" i="2"/>
  <c r="D8" i="2"/>
  <c r="D9" i="2"/>
  <c r="D7" i="2"/>
  <c r="C12" i="2"/>
  <c r="I6" i="2"/>
  <c r="C6" i="6"/>
  <c r="C5" i="6"/>
  <c r="C7" i="6"/>
  <c r="C81" i="1"/>
  <c r="C80" i="1"/>
  <c r="G79" i="1"/>
  <c r="C79" i="1"/>
  <c r="D7" i="6" l="1"/>
  <c r="C60" i="2" a="1"/>
  <c r="E60" i="2" s="1"/>
  <c r="C96" i="2" a="1"/>
  <c r="E96" i="2" s="1"/>
  <c r="D12" i="2"/>
  <c r="E12" i="2"/>
  <c r="C42" i="2" a="1"/>
  <c r="E42" i="2" s="1"/>
  <c r="I12" i="2"/>
  <c r="F12" i="2"/>
  <c r="C24" i="2" a="1"/>
  <c r="G12" i="2"/>
  <c r="C78" i="2" a="1"/>
  <c r="C114" i="2" a="1"/>
  <c r="D5" i="6"/>
  <c r="I17" i="2"/>
  <c r="I19" i="2"/>
  <c r="I18" i="2"/>
  <c r="D6" i="6"/>
  <c r="H12" i="2"/>
  <c r="B86" i="1" a="1"/>
  <c r="B87" i="1" s="1"/>
  <c r="C60" i="2" l="1"/>
  <c r="D96" i="2"/>
  <c r="C96" i="2"/>
  <c r="D60" i="2"/>
  <c r="C42" i="2"/>
  <c r="D42" i="2"/>
  <c r="C24" i="2"/>
  <c r="D24" i="2"/>
  <c r="E24" i="2"/>
  <c r="D78" i="2"/>
  <c r="E78" i="2"/>
  <c r="C78" i="2"/>
  <c r="I20" i="2"/>
  <c r="C114" i="2"/>
  <c r="E114" i="2"/>
  <c r="D114" i="2"/>
  <c r="B86" i="1"/>
  <c r="B88" i="1"/>
</calcChain>
</file>

<file path=xl/sharedStrings.xml><?xml version="1.0" encoding="utf-8"?>
<sst xmlns="http://schemas.openxmlformats.org/spreadsheetml/2006/main" count="184" uniqueCount="41">
  <si>
    <t>Research</t>
  </si>
  <si>
    <t>Growth</t>
  </si>
  <si>
    <t>Benefits</t>
  </si>
  <si>
    <t>Colleagues</t>
  </si>
  <si>
    <t>Location</t>
  </si>
  <si>
    <t>Reputation</t>
  </si>
  <si>
    <t>Company A</t>
  </si>
  <si>
    <t>Company B</t>
  </si>
  <si>
    <t>Company C</t>
  </si>
  <si>
    <t>A</t>
  </si>
  <si>
    <t>B</t>
  </si>
  <si>
    <t>C</t>
  </si>
  <si>
    <t>Criterion Base Weight</t>
  </si>
  <si>
    <t>Criterion</t>
  </si>
  <si>
    <t>Alternative</t>
  </si>
  <si>
    <t>Alternative's local wegiht under this criterion</t>
  </si>
  <si>
    <t>Weight</t>
  </si>
  <si>
    <t xml:space="preserve">Global </t>
  </si>
  <si>
    <t>chksum</t>
  </si>
  <si>
    <t>Criterion's weight when the weight of this criterion is varied</t>
  </si>
  <si>
    <t>Global Weights of Alternatives</t>
  </si>
  <si>
    <t>Criteria-Alternative Weight Matrix</t>
  </si>
  <si>
    <t>Criteria</t>
  </si>
  <si>
    <t>Global Wt</t>
  </si>
  <si>
    <t>Local Wt</t>
  </si>
  <si>
    <t>Summary of Results</t>
  </si>
  <si>
    <t>Sensitivity Analysis</t>
  </si>
  <si>
    <t>Solve Job Selection Problem with RGM Base Model</t>
  </si>
  <si>
    <t>l =</t>
  </si>
  <si>
    <t>CR =</t>
  </si>
  <si>
    <t>w</t>
  </si>
  <si>
    <t xml:space="preserve">w </t>
  </si>
  <si>
    <t>Job Selection Problem</t>
  </si>
  <si>
    <t>Use UDF AHPmatrix_Power</t>
  </si>
  <si>
    <t>Pairwise Comparison of Criteria w.r.t. Goal</t>
  </si>
  <si>
    <t>Pairwise Comparison of Alternatives w.r.t. Citerion Research</t>
  </si>
  <si>
    <t>Pairwise Comparison of Alternatives w.r.t. Criterion Growth</t>
  </si>
  <si>
    <t>Pairwise Comparison of Alternatives w.r.t. Criterion Benefits</t>
  </si>
  <si>
    <t>Pairwise Comparison of Alternatives w.r.t. Criterion Colleagues</t>
  </si>
  <si>
    <t>Pairwise Comparison of Alternatives w.r.t. Criterion Location</t>
  </si>
  <si>
    <t>Pairwise Comparison of Alternatives w.r.t. Criterion Reputation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</si>
</sst>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\ ???/???"/>
    <numFmt numFmtId="165" formatCode="0.0000"/>
    <numFmt numFmtId="166" formatCode="0.00000"/>
    <numFmt numFmtId="167" formatCode="0.0"/>
    <numFmt numFmtId="168" formatCode="0.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8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Symbol"/>
      <family val="1"/>
      <charset val="2"/>
    </font>
    <font>
      <sz val="9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 vertical="center"/>
    </xf>
    <xf numFmtId="166" fontId="2" fillId="2" borderId="1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0" fontId="3" fillId="0" borderId="0" xfId="0" applyFont="1"/>
    <xf numFmtId="166" fontId="2" fillId="5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5" fillId="6" borderId="1" xfId="0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65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167" fontId="2" fillId="5" borderId="1" xfId="0" applyNumberFormat="1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166" fontId="2" fillId="3" borderId="2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3" borderId="6" xfId="0" applyFont="1" applyFill="1" applyBorder="1"/>
    <xf numFmtId="2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5" fontId="3" fillId="7" borderId="2" xfId="0" applyNumberFormat="1" applyFont="1" applyFill="1" applyBorder="1" applyAlignment="1">
      <alignment horizontal="center"/>
    </xf>
    <xf numFmtId="165" fontId="3" fillId="7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165" fontId="6" fillId="0" borderId="0" xfId="0" applyNumberFormat="1" applyFont="1"/>
    <xf numFmtId="164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7" fillId="6" borderId="0" xfId="0" applyFont="1" applyFill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 vertical="center"/>
    </xf>
    <xf numFmtId="0" fontId="1" fillId="6" borderId="0" xfId="0" applyFont="1" applyFill="1"/>
    <xf numFmtId="165" fontId="6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9" fillId="4" borderId="5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0" fontId="9" fillId="3" borderId="2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/>
    </xf>
    <xf numFmtId="0" fontId="6" fillId="10" borderId="1" xfId="0" applyFont="1" applyFill="1" applyBorder="1"/>
    <xf numFmtId="0" fontId="7" fillId="5" borderId="1" xfId="0" applyFont="1" applyFill="1" applyBorder="1" applyAlignment="1"/>
    <xf numFmtId="0" fontId="7" fillId="5" borderId="1" xfId="0" applyFont="1" applyFill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0" fontId="6" fillId="9" borderId="1" xfId="0" applyFont="1" applyFill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0" fontId="10" fillId="0" borderId="0" xfId="0" applyFont="1"/>
    <xf numFmtId="0" fontId="7" fillId="4" borderId="1" xfId="0" applyFont="1" applyFill="1" applyBorder="1" applyAlignment="1">
      <alignment horizontal="center"/>
    </xf>
    <xf numFmtId="0" fontId="6" fillId="8" borderId="0" xfId="0" applyFont="1" applyFill="1"/>
    <xf numFmtId="0" fontId="3" fillId="8" borderId="0" xfId="0" applyFont="1" applyFill="1"/>
    <xf numFmtId="0" fontId="2" fillId="8" borderId="0" xfId="0" applyFont="1" applyFill="1"/>
    <xf numFmtId="0" fontId="3" fillId="6" borderId="0" xfId="0" applyFont="1" applyFill="1"/>
    <xf numFmtId="0" fontId="3" fillId="6" borderId="0" xfId="0" applyFont="1" applyFill="1" applyBorder="1"/>
    <xf numFmtId="0" fontId="0" fillId="10" borderId="1" xfId="0" applyFill="1" applyBorder="1"/>
    <xf numFmtId="0" fontId="6" fillId="1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right"/>
    </xf>
    <xf numFmtId="0" fontId="13" fillId="0" borderId="1" xfId="0" applyFont="1" applyFill="1" applyBorder="1" applyAlignment="1">
      <alignment horizontal="right"/>
    </xf>
    <xf numFmtId="168" fontId="6" fillId="4" borderId="1" xfId="0" applyNumberFormat="1" applyFont="1" applyFill="1" applyBorder="1" applyAlignment="1">
      <alignment horizontal="center"/>
    </xf>
    <xf numFmtId="168" fontId="6" fillId="0" borderId="1" xfId="0" applyNumberFormat="1" applyFont="1" applyBorder="1" applyAlignment="1">
      <alignment horizontal="center"/>
    </xf>
    <xf numFmtId="1" fontId="6" fillId="0" borderId="0" xfId="1" applyNumberFormat="1" applyFont="1"/>
    <xf numFmtId="168" fontId="6" fillId="5" borderId="1" xfId="0" applyNumberFormat="1" applyFont="1" applyFill="1" applyBorder="1" applyAlignment="1">
      <alignment horizontal="center"/>
    </xf>
    <xf numFmtId="168" fontId="6" fillId="9" borderId="1" xfId="0" applyNumberFormat="1" applyFont="1" applyFill="1" applyBorder="1" applyAlignment="1">
      <alignment horizontal="center"/>
    </xf>
    <xf numFmtId="168" fontId="6" fillId="4" borderId="1" xfId="0" applyNumberFormat="1" applyFont="1" applyFill="1" applyBorder="1"/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0" fillId="6" borderId="0" xfId="0" applyFill="1"/>
    <xf numFmtId="0" fontId="6" fillId="6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Analysis'!$B$25:$B$35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Analysis'!$C$25:$C$35</c:f>
              <c:numCache>
                <c:formatCode>0.0000</c:formatCode>
                <c:ptCount val="11"/>
                <c:pt idx="0">
                  <c:v>0.41925783376076181</c:v>
                </c:pt>
                <c:pt idx="1">
                  <c:v>0.39098203068357179</c:v>
                </c:pt>
                <c:pt idx="2">
                  <c:v>0.36270622760638177</c:v>
                </c:pt>
                <c:pt idx="3">
                  <c:v>0.33443042452919169</c:v>
                </c:pt>
                <c:pt idx="4">
                  <c:v>0.30615462145200162</c:v>
                </c:pt>
                <c:pt idx="5">
                  <c:v>0.27787881837481154</c:v>
                </c:pt>
                <c:pt idx="6">
                  <c:v>0.24960301529762149</c:v>
                </c:pt>
                <c:pt idx="7">
                  <c:v>0.22132721222043145</c:v>
                </c:pt>
                <c:pt idx="8">
                  <c:v>0.19305140914324134</c:v>
                </c:pt>
                <c:pt idx="9">
                  <c:v>0.16477560606605129</c:v>
                </c:pt>
                <c:pt idx="10">
                  <c:v>0.13649980298886125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9-4672-B8BD-E091BC83C791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Analysis'!$B$25:$B$35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Analysis'!$D$25:$D$35</c:f>
              <c:numCache>
                <c:formatCode>0.0000</c:formatCode>
                <c:ptCount val="11"/>
                <c:pt idx="0">
                  <c:v>0.25604367218802826</c:v>
                </c:pt>
                <c:pt idx="1">
                  <c:v>0.29294061240405478</c:v>
                </c:pt>
                <c:pt idx="2">
                  <c:v>0.3298375526200813</c:v>
                </c:pt>
                <c:pt idx="3">
                  <c:v>0.36673449283610782</c:v>
                </c:pt>
                <c:pt idx="4">
                  <c:v>0.40363143305213423</c:v>
                </c:pt>
                <c:pt idx="5">
                  <c:v>0.44052837326816086</c:v>
                </c:pt>
                <c:pt idx="6">
                  <c:v>0.47742531348418737</c:v>
                </c:pt>
                <c:pt idx="7">
                  <c:v>0.51432225370021389</c:v>
                </c:pt>
                <c:pt idx="8">
                  <c:v>0.5512191939162403</c:v>
                </c:pt>
                <c:pt idx="9">
                  <c:v>0.58811613413226693</c:v>
                </c:pt>
                <c:pt idx="10">
                  <c:v>0.62501307434829334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9-4672-B8BD-E091BC83C791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Analysis'!$B$25:$B$35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Analysis'!$E$25:$E$35</c:f>
              <c:numCache>
                <c:formatCode>0.0000</c:formatCode>
                <c:ptCount val="11"/>
                <c:pt idx="0">
                  <c:v>0.32469849405120982</c:v>
                </c:pt>
                <c:pt idx="1">
                  <c:v>0.31607735691237332</c:v>
                </c:pt>
                <c:pt idx="2">
                  <c:v>0.30745621977353699</c:v>
                </c:pt>
                <c:pt idx="3">
                  <c:v>0.29883508263470054</c:v>
                </c:pt>
                <c:pt idx="4">
                  <c:v>0.29021394549586399</c:v>
                </c:pt>
                <c:pt idx="5">
                  <c:v>0.28159280835702755</c:v>
                </c:pt>
                <c:pt idx="6">
                  <c:v>0.2729716712181911</c:v>
                </c:pt>
                <c:pt idx="7">
                  <c:v>0.2643505340793546</c:v>
                </c:pt>
                <c:pt idx="8">
                  <c:v>0.25572939694051816</c:v>
                </c:pt>
                <c:pt idx="9">
                  <c:v>0.24710825980168177</c:v>
                </c:pt>
                <c:pt idx="10">
                  <c:v>0.2384871226628453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59-4672-B8BD-E091BC83C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Criterion Research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Analysis'!$B$43:$B$53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Analysis'!$C$43:$C$53</c:f>
              <c:numCache>
                <c:formatCode>0.0000</c:formatCode>
                <c:ptCount val="11"/>
                <c:pt idx="0">
                  <c:v>0.43914231816089022</c:v>
                </c:pt>
                <c:pt idx="1">
                  <c:v>0.40496709326005331</c:v>
                </c:pt>
                <c:pt idx="2">
                  <c:v>0.3707918683592164</c:v>
                </c:pt>
                <c:pt idx="3">
                  <c:v>0.33661664345837938</c:v>
                </c:pt>
                <c:pt idx="4">
                  <c:v>0.30244141855754253</c:v>
                </c:pt>
                <c:pt idx="5">
                  <c:v>0.26826619365670556</c:v>
                </c:pt>
                <c:pt idx="6">
                  <c:v>0.23409096875586863</c:v>
                </c:pt>
                <c:pt idx="7">
                  <c:v>0.19991574385503169</c:v>
                </c:pt>
                <c:pt idx="8">
                  <c:v>0.16574051895419475</c:v>
                </c:pt>
                <c:pt idx="9">
                  <c:v>0.13156529405335782</c:v>
                </c:pt>
                <c:pt idx="10">
                  <c:v>9.7390069152520894E-2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7B-4521-BFF5-3109AFFDFC1E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Analysis'!$B$43:$B$53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Analysis'!$D$43:$D$53</c:f>
              <c:numCache>
                <c:formatCode>0.0000</c:formatCode>
                <c:ptCount val="11"/>
                <c:pt idx="0">
                  <c:v>0.31015496177213131</c:v>
                </c:pt>
                <c:pt idx="1">
                  <c:v>0.31244640073411628</c:v>
                </c:pt>
                <c:pt idx="2">
                  <c:v>0.31473783969610136</c:v>
                </c:pt>
                <c:pt idx="3">
                  <c:v>0.31702927865808639</c:v>
                </c:pt>
                <c:pt idx="4">
                  <c:v>0.31932071762007147</c:v>
                </c:pt>
                <c:pt idx="5">
                  <c:v>0.3216121565820565</c:v>
                </c:pt>
                <c:pt idx="6">
                  <c:v>0.32390359554404152</c:v>
                </c:pt>
                <c:pt idx="7">
                  <c:v>0.3261950345060266</c:v>
                </c:pt>
                <c:pt idx="8">
                  <c:v>0.32848647346801169</c:v>
                </c:pt>
                <c:pt idx="9">
                  <c:v>0.33077791242999666</c:v>
                </c:pt>
                <c:pt idx="10">
                  <c:v>0.33306935139198174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7B-4521-BFF5-3109AFFDFC1E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Analysis'!$B$43:$B$53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Analysis'!$E$43:$E$53</c:f>
              <c:numCache>
                <c:formatCode>0.0000</c:formatCode>
                <c:ptCount val="11"/>
                <c:pt idx="0">
                  <c:v>0.2507027200669783</c:v>
                </c:pt>
                <c:pt idx="1">
                  <c:v>0.2825865060058303</c:v>
                </c:pt>
                <c:pt idx="2">
                  <c:v>0.31447029194468218</c:v>
                </c:pt>
                <c:pt idx="3">
                  <c:v>0.34635407788353401</c:v>
                </c:pt>
                <c:pt idx="4">
                  <c:v>0.37823786382238594</c:v>
                </c:pt>
                <c:pt idx="5">
                  <c:v>0.41012164976123788</c:v>
                </c:pt>
                <c:pt idx="6">
                  <c:v>0.44200543570008982</c:v>
                </c:pt>
                <c:pt idx="7">
                  <c:v>0.4738892216389417</c:v>
                </c:pt>
                <c:pt idx="8">
                  <c:v>0.50577300757779364</c:v>
                </c:pt>
                <c:pt idx="9">
                  <c:v>0.53765679351664553</c:v>
                </c:pt>
                <c:pt idx="10">
                  <c:v>0.56954057945549741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7B-4521-BFF5-3109AFFDF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Analysis'!$B$61:$B$71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Analysis'!$C$61:$C$71</c:f>
              <c:numCache>
                <c:formatCode>0.0000</c:formatCode>
                <c:ptCount val="11"/>
                <c:pt idx="0">
                  <c:v>0.40701259613325769</c:v>
                </c:pt>
                <c:pt idx="1">
                  <c:v>0.39057502869312755</c:v>
                </c:pt>
                <c:pt idx="2">
                  <c:v>0.37413746125299746</c:v>
                </c:pt>
                <c:pt idx="3">
                  <c:v>0.35769989381286726</c:v>
                </c:pt>
                <c:pt idx="4">
                  <c:v>0.34126232637273712</c:v>
                </c:pt>
                <c:pt idx="5">
                  <c:v>0.32482475893260698</c:v>
                </c:pt>
                <c:pt idx="6">
                  <c:v>0.30838719149247684</c:v>
                </c:pt>
                <c:pt idx="7">
                  <c:v>0.2919496240523467</c:v>
                </c:pt>
                <c:pt idx="8">
                  <c:v>0.2755120566122165</c:v>
                </c:pt>
                <c:pt idx="9">
                  <c:v>0.25907448917208636</c:v>
                </c:pt>
                <c:pt idx="10">
                  <c:v>0.24263692173195622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2-4494-8E1B-E73C8131E43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Analysis'!$B$61:$B$71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Analysis'!$D$61:$D$71</c:f>
              <c:numCache>
                <c:formatCode>0.0000</c:formatCode>
                <c:ptCount val="11"/>
                <c:pt idx="0">
                  <c:v>0.37042063884731352</c:v>
                </c:pt>
                <c:pt idx="1">
                  <c:v>0.3421731958444878</c:v>
                </c:pt>
                <c:pt idx="2">
                  <c:v>0.31392575284166213</c:v>
                </c:pt>
                <c:pt idx="3">
                  <c:v>0.2856783098388363</c:v>
                </c:pt>
                <c:pt idx="4">
                  <c:v>0.25743086683601052</c:v>
                </c:pt>
                <c:pt idx="5">
                  <c:v>0.2291834238331848</c:v>
                </c:pt>
                <c:pt idx="6">
                  <c:v>0.20093598083035905</c:v>
                </c:pt>
                <c:pt idx="7">
                  <c:v>0.17268853782753332</c:v>
                </c:pt>
                <c:pt idx="8">
                  <c:v>0.14444109482470752</c:v>
                </c:pt>
                <c:pt idx="9">
                  <c:v>0.11619365182188177</c:v>
                </c:pt>
                <c:pt idx="10">
                  <c:v>8.7946208819056029E-2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2-4494-8E1B-E73C8131E43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Analysis'!$B$61:$B$71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Analysis'!$E$61:$E$71</c:f>
              <c:numCache>
                <c:formatCode>0.0000</c:formatCode>
                <c:ptCount val="11"/>
                <c:pt idx="0">
                  <c:v>0.22256676501942854</c:v>
                </c:pt>
                <c:pt idx="1">
                  <c:v>0.26725177546238449</c:v>
                </c:pt>
                <c:pt idx="2">
                  <c:v>0.31193678590534046</c:v>
                </c:pt>
                <c:pt idx="3">
                  <c:v>0.35662179634829627</c:v>
                </c:pt>
                <c:pt idx="4">
                  <c:v>0.40130680679125219</c:v>
                </c:pt>
                <c:pt idx="5">
                  <c:v>0.44599181723420817</c:v>
                </c:pt>
                <c:pt idx="6">
                  <c:v>0.49067682767716403</c:v>
                </c:pt>
                <c:pt idx="7">
                  <c:v>0.53536183812011984</c:v>
                </c:pt>
                <c:pt idx="8">
                  <c:v>0.58004684856307587</c:v>
                </c:pt>
                <c:pt idx="9">
                  <c:v>0.62473185900603179</c:v>
                </c:pt>
                <c:pt idx="10">
                  <c:v>0.66941686944898771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2-4494-8E1B-E73C8131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Benefits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Analysis'!$B$79:$B$89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Analysis'!$C$79:$C$89</c:f>
              <c:numCache>
                <c:formatCode>0.0000</c:formatCode>
                <c:ptCount val="11"/>
                <c:pt idx="0">
                  <c:v>0.37931510281899039</c:v>
                </c:pt>
                <c:pt idx="1">
                  <c:v>0.36927904908573317</c:v>
                </c:pt>
                <c:pt idx="2">
                  <c:v>0.359242995352476</c:v>
                </c:pt>
                <c:pt idx="3">
                  <c:v>0.34920694161921872</c:v>
                </c:pt>
                <c:pt idx="4">
                  <c:v>0.33917088788596156</c:v>
                </c:pt>
                <c:pt idx="5">
                  <c:v>0.32913483415270434</c:v>
                </c:pt>
                <c:pt idx="6">
                  <c:v>0.31909878041944717</c:v>
                </c:pt>
                <c:pt idx="7">
                  <c:v>0.30906272668618995</c:v>
                </c:pt>
                <c:pt idx="8">
                  <c:v>0.29902667295293273</c:v>
                </c:pt>
                <c:pt idx="9">
                  <c:v>0.2889906192196755</c:v>
                </c:pt>
                <c:pt idx="10">
                  <c:v>0.27895456548641834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3-4FB7-8D99-8B0875F5CC9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Analysis'!$B$79:$B$89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Analysis'!$D$79:$D$89</c:f>
              <c:numCache>
                <c:formatCode>0.0000</c:formatCode>
                <c:ptCount val="11"/>
                <c:pt idx="0">
                  <c:v>0.29750488015821641</c:v>
                </c:pt>
                <c:pt idx="1">
                  <c:v>0.33266619260552732</c:v>
                </c:pt>
                <c:pt idx="2">
                  <c:v>0.36782750505283829</c:v>
                </c:pt>
                <c:pt idx="3">
                  <c:v>0.40298881750014903</c:v>
                </c:pt>
                <c:pt idx="4">
                  <c:v>0.43815012994746005</c:v>
                </c:pt>
                <c:pt idx="5">
                  <c:v>0.47331144239477085</c:v>
                </c:pt>
                <c:pt idx="6">
                  <c:v>0.50847275484208176</c:v>
                </c:pt>
                <c:pt idx="7">
                  <c:v>0.54363406728939256</c:v>
                </c:pt>
                <c:pt idx="8">
                  <c:v>0.57879537973670359</c:v>
                </c:pt>
                <c:pt idx="9">
                  <c:v>0.61395669218401439</c:v>
                </c:pt>
                <c:pt idx="10">
                  <c:v>0.6491180046313253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E3-4FB7-8D99-8B0875F5CC9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Analysis'!$B$79:$B$89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Analysis'!$E$79:$E$89</c:f>
              <c:numCache>
                <c:formatCode>0.0000</c:formatCode>
                <c:ptCount val="11"/>
                <c:pt idx="0">
                  <c:v>0.32318001702279303</c:v>
                </c:pt>
                <c:pt idx="1">
                  <c:v>0.2980547583087394</c:v>
                </c:pt>
                <c:pt idx="2">
                  <c:v>0.27292949959468571</c:v>
                </c:pt>
                <c:pt idx="3">
                  <c:v>0.24780424088063208</c:v>
                </c:pt>
                <c:pt idx="4">
                  <c:v>0.22267898216657844</c:v>
                </c:pt>
                <c:pt idx="5">
                  <c:v>0.19755372345252475</c:v>
                </c:pt>
                <c:pt idx="6">
                  <c:v>0.17242846473847109</c:v>
                </c:pt>
                <c:pt idx="7">
                  <c:v>0.14730320602441746</c:v>
                </c:pt>
                <c:pt idx="8">
                  <c:v>0.12217794731036376</c:v>
                </c:pt>
                <c:pt idx="9">
                  <c:v>9.7052688596310124E-2</c:v>
                </c:pt>
                <c:pt idx="10">
                  <c:v>7.1927429882256463E-2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E3-4FB7-8D99-8B0875F5C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Colleagues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Analysis'!$B$97:$B$107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Analysis'!$C$97:$C$107</c:f>
              <c:numCache>
                <c:formatCode>0.0000</c:formatCode>
                <c:ptCount val="11"/>
                <c:pt idx="0">
                  <c:v>0.35816482167862018</c:v>
                </c:pt>
                <c:pt idx="1">
                  <c:v>0.36901500617742478</c:v>
                </c:pt>
                <c:pt idx="2">
                  <c:v>0.37986519067622948</c:v>
                </c:pt>
                <c:pt idx="3">
                  <c:v>0.39071537517503407</c:v>
                </c:pt>
                <c:pt idx="4">
                  <c:v>0.40156555967383872</c:v>
                </c:pt>
                <c:pt idx="5">
                  <c:v>0.41241574417264343</c:v>
                </c:pt>
                <c:pt idx="6">
                  <c:v>0.42326592867144808</c:v>
                </c:pt>
                <c:pt idx="7">
                  <c:v>0.43411611317025267</c:v>
                </c:pt>
                <c:pt idx="8">
                  <c:v>0.44496629766905732</c:v>
                </c:pt>
                <c:pt idx="9">
                  <c:v>0.45581648216786197</c:v>
                </c:pt>
                <c:pt idx="10">
                  <c:v>0.46666666666666662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C-4601-953A-D7475AEB2987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Analysis'!$B$97:$B$107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Analysis'!$D$97:$D$107</c:f>
              <c:numCache>
                <c:formatCode>0.0000</c:formatCode>
                <c:ptCount val="11"/>
                <c:pt idx="0">
                  <c:v>0.28758544705063366</c:v>
                </c:pt>
                <c:pt idx="1">
                  <c:v>0.30549356901223695</c:v>
                </c:pt>
                <c:pt idx="2">
                  <c:v>0.32340169097384025</c:v>
                </c:pt>
                <c:pt idx="3">
                  <c:v>0.34130981293544349</c:v>
                </c:pt>
                <c:pt idx="4">
                  <c:v>0.35921793489704684</c:v>
                </c:pt>
                <c:pt idx="5">
                  <c:v>0.37712605685865008</c:v>
                </c:pt>
                <c:pt idx="6">
                  <c:v>0.39503417882025349</c:v>
                </c:pt>
                <c:pt idx="7">
                  <c:v>0.41294230078185673</c:v>
                </c:pt>
                <c:pt idx="8">
                  <c:v>0.43085042274346003</c:v>
                </c:pt>
                <c:pt idx="9">
                  <c:v>0.44875854470506332</c:v>
                </c:pt>
                <c:pt idx="10">
                  <c:v>0.46666666666666662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C-4601-953A-D7475AEB2987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Analysis'!$B$97:$B$107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Analysis'!$E$97:$E$107</c:f>
              <c:numCache>
                <c:formatCode>0.0000</c:formatCode>
                <c:ptCount val="11"/>
                <c:pt idx="0">
                  <c:v>0.35424973127074616</c:v>
                </c:pt>
                <c:pt idx="1">
                  <c:v>0.32549142481033816</c:v>
                </c:pt>
                <c:pt idx="2">
                  <c:v>0.29673311834993021</c:v>
                </c:pt>
                <c:pt idx="3">
                  <c:v>0.26797481188952227</c:v>
                </c:pt>
                <c:pt idx="4">
                  <c:v>0.23921650542911435</c:v>
                </c:pt>
                <c:pt idx="5">
                  <c:v>0.21045819896870641</c:v>
                </c:pt>
                <c:pt idx="6">
                  <c:v>0.18169989250829846</c:v>
                </c:pt>
                <c:pt idx="7">
                  <c:v>0.15294158604789052</c:v>
                </c:pt>
                <c:pt idx="8">
                  <c:v>0.12418327958748254</c:v>
                </c:pt>
                <c:pt idx="9">
                  <c:v>9.5424973127074597E-2</c:v>
                </c:pt>
                <c:pt idx="10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C-4601-953A-D7475AEB2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Location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Analysis'!$B$115:$B$125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Analysis'!$C$115:$C$125</c:f>
              <c:numCache>
                <c:formatCode>0.0000</c:formatCode>
                <c:ptCount val="11"/>
                <c:pt idx="0">
                  <c:v>0.23069568855759534</c:v>
                </c:pt>
                <c:pt idx="1">
                  <c:v>0.28690185601851759</c:v>
                </c:pt>
                <c:pt idx="2">
                  <c:v>0.34310802347943981</c:v>
                </c:pt>
                <c:pt idx="3">
                  <c:v>0.39931419094036197</c:v>
                </c:pt>
                <c:pt idx="4">
                  <c:v>0.45552035840128424</c:v>
                </c:pt>
                <c:pt idx="5">
                  <c:v>0.51172652586220635</c:v>
                </c:pt>
                <c:pt idx="6">
                  <c:v>0.56793269332312857</c:v>
                </c:pt>
                <c:pt idx="7">
                  <c:v>0.62413886078405079</c:v>
                </c:pt>
                <c:pt idx="8">
                  <c:v>0.680345028244973</c:v>
                </c:pt>
                <c:pt idx="9">
                  <c:v>0.73655119570589522</c:v>
                </c:pt>
                <c:pt idx="10">
                  <c:v>0.79275736316681744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1-43ED-B5B4-C1C49B7B107B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Analysis'!$B$115:$B$125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Analysis'!$D$115:$D$125</c:f>
              <c:numCache>
                <c:formatCode>0.0000</c:formatCode>
                <c:ptCount val="11"/>
                <c:pt idx="0">
                  <c:v>0.37748336688390804</c:v>
                </c:pt>
                <c:pt idx="1">
                  <c:v>0.3528571526588401</c:v>
                </c:pt>
                <c:pt idx="2">
                  <c:v>0.32823093843377199</c:v>
                </c:pt>
                <c:pt idx="3">
                  <c:v>0.30360472420870394</c:v>
                </c:pt>
                <c:pt idx="4">
                  <c:v>0.27897850998363588</c:v>
                </c:pt>
                <c:pt idx="5">
                  <c:v>0.25435229575856788</c:v>
                </c:pt>
                <c:pt idx="6">
                  <c:v>0.22972608153349983</c:v>
                </c:pt>
                <c:pt idx="7">
                  <c:v>0.20509986730843183</c:v>
                </c:pt>
                <c:pt idx="8">
                  <c:v>0.18047365308336372</c:v>
                </c:pt>
                <c:pt idx="9">
                  <c:v>0.15584743885829569</c:v>
                </c:pt>
                <c:pt idx="10">
                  <c:v>0.13122122463322766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1-43ED-B5B4-C1C49B7B107B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Analysis'!$B$115:$B$125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Analysis'!$E$115:$E$125</c:f>
              <c:numCache>
                <c:formatCode>0.0000</c:formatCode>
                <c:ptCount val="11"/>
                <c:pt idx="0">
                  <c:v>0.39182094455849642</c:v>
                </c:pt>
                <c:pt idx="1">
                  <c:v>0.36024099132264226</c:v>
                </c:pt>
                <c:pt idx="2">
                  <c:v>0.3286610380867882</c:v>
                </c:pt>
                <c:pt idx="3">
                  <c:v>0.29708108485093399</c:v>
                </c:pt>
                <c:pt idx="4">
                  <c:v>0.26550113161507982</c:v>
                </c:pt>
                <c:pt idx="5">
                  <c:v>0.23392117837922566</c:v>
                </c:pt>
                <c:pt idx="6">
                  <c:v>0.20234122514337155</c:v>
                </c:pt>
                <c:pt idx="7">
                  <c:v>0.17076127190751739</c:v>
                </c:pt>
                <c:pt idx="8">
                  <c:v>0.1391813186716632</c:v>
                </c:pt>
                <c:pt idx="9">
                  <c:v>0.10760136543580906</c:v>
                </c:pt>
                <c:pt idx="10">
                  <c:v>7.602141219995491E-2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71-43ED-B5B4-C1C49B7B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Reputation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99849</xdr:colOff>
      <xdr:row>22</xdr:row>
      <xdr:rowOff>10510</xdr:rowOff>
    </xdr:from>
    <xdr:to>
      <xdr:col>13</xdr:col>
      <xdr:colOff>493987</xdr:colOff>
      <xdr:row>39</xdr:row>
      <xdr:rowOff>105103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105102</xdr:colOff>
      <xdr:row>39</xdr:row>
      <xdr:rowOff>141889</xdr:rowOff>
    </xdr:from>
    <xdr:to>
      <xdr:col>13</xdr:col>
      <xdr:colOff>499240</xdr:colOff>
      <xdr:row>57</xdr:row>
      <xdr:rowOff>21019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94593</xdr:colOff>
      <xdr:row>57</xdr:row>
      <xdr:rowOff>131379</xdr:rowOff>
    </xdr:from>
    <xdr:to>
      <xdr:col>13</xdr:col>
      <xdr:colOff>488731</xdr:colOff>
      <xdr:row>75</xdr:row>
      <xdr:rowOff>10510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84083</xdr:colOff>
      <xdr:row>75</xdr:row>
      <xdr:rowOff>89339</xdr:rowOff>
    </xdr:from>
    <xdr:to>
      <xdr:col>13</xdr:col>
      <xdr:colOff>478221</xdr:colOff>
      <xdr:row>92</xdr:row>
      <xdr:rowOff>110359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73574</xdr:colOff>
      <xdr:row>93</xdr:row>
      <xdr:rowOff>136634</xdr:rowOff>
    </xdr:from>
    <xdr:to>
      <xdr:col>13</xdr:col>
      <xdr:colOff>467712</xdr:colOff>
      <xdr:row>110</xdr:row>
      <xdr:rowOff>147145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36787</xdr:colOff>
      <xdr:row>111</xdr:row>
      <xdr:rowOff>157654</xdr:rowOff>
    </xdr:from>
    <xdr:to>
      <xdr:col>13</xdr:col>
      <xdr:colOff>430925</xdr:colOff>
      <xdr:row>129</xdr:row>
      <xdr:rowOff>36785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4"/>
  <sheetViews>
    <sheetView tabSelected="1" zoomScaleNormal="100" workbookViewId="0"/>
  </sheetViews>
  <sheetFormatPr defaultRowHeight="14.5" x14ac:dyDescent="0.35"/>
  <cols>
    <col min="1" max="1" width="11.453125" customWidth="1"/>
    <col min="2" max="2" width="9.7265625" customWidth="1"/>
    <col min="3" max="3" width="8.54296875" customWidth="1"/>
    <col min="4" max="4" width="8.81640625" customWidth="1"/>
    <col min="5" max="5" width="9.453125" customWidth="1"/>
    <col min="6" max="6" width="9" customWidth="1"/>
    <col min="7" max="7" width="8.81640625" customWidth="1"/>
    <col min="8" max="8" width="9.453125" customWidth="1"/>
    <col min="9" max="9" width="7.26953125" customWidth="1"/>
    <col min="10" max="10" width="10.1796875" customWidth="1"/>
    <col min="11" max="11" width="10.26953125" customWidth="1"/>
  </cols>
  <sheetData>
    <row r="1" spans="1:17" x14ac:dyDescent="0.35">
      <c r="A1" s="85" t="s">
        <v>32</v>
      </c>
      <c r="B1" s="86"/>
      <c r="C1" s="86"/>
      <c r="D1" s="86"/>
      <c r="E1" s="86"/>
      <c r="F1" s="86"/>
      <c r="G1" s="86"/>
      <c r="H1" s="86"/>
      <c r="I1" s="86"/>
      <c r="J1" s="87"/>
      <c r="K1" s="87"/>
      <c r="L1" s="31"/>
      <c r="M1" s="31"/>
      <c r="N1" s="31"/>
      <c r="O1" s="31"/>
      <c r="P1" s="31"/>
      <c r="Q1" s="31"/>
    </row>
    <row r="2" spans="1:17" x14ac:dyDescent="0.35">
      <c r="A2" s="68" t="s">
        <v>33</v>
      </c>
      <c r="B2" s="68"/>
      <c r="C2" s="68"/>
      <c r="D2" s="87"/>
      <c r="E2" s="87"/>
      <c r="F2" s="87"/>
      <c r="G2" s="87"/>
      <c r="H2" s="87"/>
      <c r="I2" s="87"/>
      <c r="J2" s="87"/>
      <c r="K2" s="87"/>
      <c r="L2" s="31"/>
      <c r="M2" s="31"/>
      <c r="N2" s="31"/>
      <c r="O2" s="31"/>
      <c r="P2" s="31"/>
      <c r="Q2" s="31"/>
    </row>
    <row r="3" spans="1:17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</row>
    <row r="4" spans="1:17" x14ac:dyDescent="0.35">
      <c r="A4" s="66" t="s">
        <v>34</v>
      </c>
      <c r="B4" s="66"/>
      <c r="C4" s="66"/>
      <c r="D4" s="66"/>
      <c r="E4" s="66"/>
      <c r="F4" s="66"/>
      <c r="G4" s="66"/>
      <c r="H4" s="67"/>
      <c r="I4" s="67"/>
      <c r="J4" s="67"/>
      <c r="K4" s="67"/>
      <c r="L4" s="31"/>
      <c r="M4" s="31"/>
      <c r="N4" s="31"/>
      <c r="O4" s="31"/>
      <c r="P4" s="31"/>
      <c r="Q4" s="31"/>
    </row>
    <row r="5" spans="1:17" ht="14.25" customHeight="1" x14ac:dyDescent="0.3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</row>
    <row r="6" spans="1:17" ht="16.149999999999999" customHeight="1" x14ac:dyDescent="0.35">
      <c r="A6" s="47"/>
      <c r="B6" s="55" t="s">
        <v>0</v>
      </c>
      <c r="C6" s="55" t="s">
        <v>1</v>
      </c>
      <c r="D6" s="55" t="s">
        <v>2</v>
      </c>
      <c r="E6" s="55" t="s">
        <v>3</v>
      </c>
      <c r="F6" s="55" t="s">
        <v>4</v>
      </c>
      <c r="G6" s="55" t="s">
        <v>5</v>
      </c>
      <c r="H6" s="46" t="s">
        <v>30</v>
      </c>
      <c r="I6" s="31"/>
      <c r="J6" s="31"/>
      <c r="K6" s="31"/>
      <c r="L6" s="31"/>
      <c r="M6" s="31"/>
      <c r="N6" s="31"/>
      <c r="O6" s="31"/>
      <c r="P6" s="31"/>
      <c r="Q6" s="31"/>
    </row>
    <row r="7" spans="1:17" x14ac:dyDescent="0.35">
      <c r="A7" s="55" t="s">
        <v>0</v>
      </c>
      <c r="B7" s="34">
        <v>1</v>
      </c>
      <c r="C7" s="42">
        <v>1</v>
      </c>
      <c r="D7" s="42">
        <v>1</v>
      </c>
      <c r="E7" s="42">
        <v>4</v>
      </c>
      <c r="F7" s="42">
        <v>1</v>
      </c>
      <c r="G7" s="43">
        <f>1/2</f>
        <v>0.5</v>
      </c>
      <c r="H7" s="74">
        <f t="array" ref="H7:H14">AHPmat_Power(B7:G12)</f>
        <v>0.15840818878156127</v>
      </c>
      <c r="I7" s="31"/>
      <c r="J7" s="31"/>
      <c r="K7" s="31"/>
      <c r="L7" s="31"/>
      <c r="M7" s="31"/>
      <c r="N7" s="31"/>
      <c r="O7" s="31"/>
      <c r="P7" s="31"/>
      <c r="Q7" s="31"/>
    </row>
    <row r="8" spans="1:17" x14ac:dyDescent="0.35">
      <c r="A8" s="55" t="s">
        <v>1</v>
      </c>
      <c r="B8" s="34">
        <f>1/C7</f>
        <v>1</v>
      </c>
      <c r="C8" s="34">
        <v>1</v>
      </c>
      <c r="D8" s="42">
        <v>2</v>
      </c>
      <c r="E8" s="42">
        <v>4</v>
      </c>
      <c r="F8" s="42">
        <v>1</v>
      </c>
      <c r="G8" s="43">
        <f>1/2</f>
        <v>0.5</v>
      </c>
      <c r="H8" s="74">
        <v>0.18924724593856965</v>
      </c>
      <c r="I8" s="31"/>
      <c r="J8" s="31"/>
      <c r="K8" s="31"/>
      <c r="L8" s="31"/>
      <c r="M8" s="31"/>
      <c r="N8" s="31"/>
      <c r="O8" s="31"/>
      <c r="P8" s="31"/>
      <c r="Q8" s="31"/>
    </row>
    <row r="9" spans="1:17" x14ac:dyDescent="0.35">
      <c r="A9" s="55" t="s">
        <v>2</v>
      </c>
      <c r="B9" s="34">
        <f>1/D7</f>
        <v>1</v>
      </c>
      <c r="C9" s="36">
        <f>1/D8</f>
        <v>0.5</v>
      </c>
      <c r="D9" s="34">
        <v>1</v>
      </c>
      <c r="E9" s="42">
        <v>5</v>
      </c>
      <c r="F9" s="42">
        <v>3</v>
      </c>
      <c r="G9" s="43">
        <f>1/2</f>
        <v>0.5</v>
      </c>
      <c r="H9" s="74">
        <v>0.197997361891012</v>
      </c>
      <c r="I9" s="31"/>
      <c r="J9" s="31"/>
      <c r="K9" s="31"/>
      <c r="L9" s="31"/>
      <c r="M9" s="31"/>
      <c r="N9" s="31"/>
      <c r="O9" s="31"/>
      <c r="P9" s="31"/>
      <c r="Q9" s="31"/>
    </row>
    <row r="10" spans="1:17" x14ac:dyDescent="0.35">
      <c r="A10" s="55" t="s">
        <v>3</v>
      </c>
      <c r="B10" s="36">
        <f>1/E7</f>
        <v>0.25</v>
      </c>
      <c r="C10" s="36">
        <f>1/E8</f>
        <v>0.25</v>
      </c>
      <c r="D10" s="36">
        <f>1/E9</f>
        <v>0.2</v>
      </c>
      <c r="E10" s="34">
        <v>1</v>
      </c>
      <c r="F10" s="43">
        <f>1/3</f>
        <v>0.33333333333333331</v>
      </c>
      <c r="G10" s="43">
        <f>1/3</f>
        <v>0.33333333333333331</v>
      </c>
      <c r="H10" s="74">
        <v>4.8310388775416775E-2</v>
      </c>
      <c r="I10" s="31"/>
      <c r="J10" s="31"/>
      <c r="K10" s="31"/>
      <c r="L10" s="31"/>
      <c r="M10" s="31"/>
      <c r="N10" s="31"/>
      <c r="O10" s="31"/>
      <c r="P10" s="31"/>
      <c r="Q10" s="31"/>
    </row>
    <row r="11" spans="1:17" x14ac:dyDescent="0.35">
      <c r="A11" s="55" t="s">
        <v>4</v>
      </c>
      <c r="B11" s="34">
        <f>1/F7</f>
        <v>1</v>
      </c>
      <c r="C11" s="34">
        <f>1/F8</f>
        <v>1</v>
      </c>
      <c r="D11" s="36">
        <f>1/F9</f>
        <v>0.33333333333333331</v>
      </c>
      <c r="E11" s="34">
        <f>1/F10</f>
        <v>3</v>
      </c>
      <c r="F11" s="34">
        <v>1</v>
      </c>
      <c r="G11" s="42">
        <v>1</v>
      </c>
      <c r="H11" s="74">
        <v>0.15024467617043649</v>
      </c>
      <c r="I11" s="31"/>
      <c r="J11" s="31"/>
      <c r="K11" s="31"/>
      <c r="L11" s="31"/>
      <c r="M11" s="31"/>
      <c r="N11" s="31"/>
      <c r="O11" s="31"/>
      <c r="P11" s="31"/>
      <c r="Q11" s="31"/>
    </row>
    <row r="12" spans="1:17" x14ac:dyDescent="0.35">
      <c r="A12" s="55" t="s">
        <v>5</v>
      </c>
      <c r="B12" s="34">
        <f>1/G7</f>
        <v>2</v>
      </c>
      <c r="C12" s="34">
        <f>1/G8</f>
        <v>2</v>
      </c>
      <c r="D12" s="34">
        <f>1/G9</f>
        <v>2</v>
      </c>
      <c r="E12" s="34">
        <f>1/G10</f>
        <v>3</v>
      </c>
      <c r="F12" s="34">
        <f>1/G11</f>
        <v>1</v>
      </c>
      <c r="G12" s="34">
        <v>1</v>
      </c>
      <c r="H12" s="74">
        <v>0.25579213844300391</v>
      </c>
      <c r="I12" s="31"/>
      <c r="J12" s="31"/>
      <c r="K12" s="31"/>
      <c r="L12" s="31"/>
      <c r="M12" s="31"/>
      <c r="N12" s="31"/>
      <c r="O12" s="31"/>
      <c r="P12" s="31"/>
      <c r="Q12" s="31"/>
    </row>
    <row r="13" spans="1:17" x14ac:dyDescent="0.35">
      <c r="A13" s="40"/>
      <c r="B13" s="41"/>
      <c r="C13" s="41"/>
      <c r="D13" s="41"/>
      <c r="E13" s="41"/>
      <c r="F13" s="31"/>
      <c r="G13" s="72" t="s">
        <v>28</v>
      </c>
      <c r="H13" s="75">
        <v>6.4203442065629401</v>
      </c>
      <c r="I13" s="38"/>
      <c r="J13" s="31"/>
      <c r="K13" s="31"/>
      <c r="L13" s="31"/>
      <c r="M13" s="31"/>
      <c r="N13" s="31"/>
      <c r="O13" s="31"/>
      <c r="P13" s="31"/>
      <c r="Q13" s="31"/>
    </row>
    <row r="14" spans="1:17" x14ac:dyDescent="0.35">
      <c r="A14" s="40"/>
      <c r="B14" s="41"/>
      <c r="C14" s="41"/>
      <c r="D14" s="41"/>
      <c r="E14" s="41"/>
      <c r="F14" s="31"/>
      <c r="G14" s="73" t="s">
        <v>29</v>
      </c>
      <c r="H14" s="75">
        <v>6.7797452671441966E-2</v>
      </c>
      <c r="I14" s="76" t="str">
        <f>IF(H14&lt;0.1, "&lt; 0.1", "&gt; 0.1")</f>
        <v>&lt; 0.1</v>
      </c>
      <c r="J14" s="31"/>
      <c r="K14" s="31"/>
      <c r="L14" s="31"/>
      <c r="M14" s="31"/>
      <c r="N14" s="31"/>
      <c r="O14" s="31"/>
      <c r="P14" s="31"/>
      <c r="Q14" s="31"/>
    </row>
    <row r="15" spans="1:17" x14ac:dyDescent="0.35">
      <c r="A15" s="40"/>
      <c r="B15" s="41"/>
      <c r="C15" s="41"/>
      <c r="D15" s="41"/>
      <c r="E15" s="41"/>
      <c r="F15" s="31"/>
      <c r="G15" s="31"/>
      <c r="I15" s="35"/>
      <c r="J15" s="31"/>
      <c r="K15" s="31"/>
      <c r="L15" s="31"/>
      <c r="M15" s="31"/>
      <c r="N15" s="31"/>
      <c r="O15" s="31"/>
      <c r="P15" s="31"/>
      <c r="Q15" s="31"/>
    </row>
    <row r="16" spans="1:17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</row>
    <row r="17" spans="1:17" x14ac:dyDescent="0.35">
      <c r="A17" s="66" t="s">
        <v>35</v>
      </c>
      <c r="B17" s="65"/>
      <c r="C17" s="65"/>
      <c r="D17" s="65"/>
      <c r="E17" s="65"/>
      <c r="F17" s="65"/>
      <c r="G17" s="65"/>
      <c r="H17" s="65"/>
      <c r="I17" s="31"/>
      <c r="J17" s="31"/>
      <c r="K17" s="31"/>
      <c r="L17" s="31"/>
      <c r="M17" s="31"/>
      <c r="N17" s="31"/>
      <c r="O17" s="31"/>
      <c r="P17" s="31"/>
      <c r="Q17" s="31"/>
    </row>
    <row r="18" spans="1:17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</row>
    <row r="19" spans="1:17" x14ac:dyDescent="0.35">
      <c r="A19" s="47"/>
      <c r="B19" s="56" t="s">
        <v>9</v>
      </c>
      <c r="C19" s="56" t="s">
        <v>10</v>
      </c>
      <c r="D19" s="56" t="s">
        <v>11</v>
      </c>
      <c r="E19" s="46" t="s">
        <v>30</v>
      </c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</row>
    <row r="20" spans="1:17" x14ac:dyDescent="0.35">
      <c r="A20" s="47" t="s">
        <v>6</v>
      </c>
      <c r="B20" s="34">
        <v>1</v>
      </c>
      <c r="C20" s="43">
        <f>1/4</f>
        <v>0.25</v>
      </c>
      <c r="D20" s="43">
        <f>1/2</f>
        <v>0.5</v>
      </c>
      <c r="E20" s="74">
        <f t="array" ref="E20:E24">AHPmat_Power(B20:D22)</f>
        <v>0.13649980298886125</v>
      </c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</row>
    <row r="21" spans="1:17" x14ac:dyDescent="0.35">
      <c r="A21" s="47" t="s">
        <v>7</v>
      </c>
      <c r="B21" s="34">
        <f>1/C20</f>
        <v>4</v>
      </c>
      <c r="C21" s="34">
        <v>1</v>
      </c>
      <c r="D21" s="42">
        <v>3</v>
      </c>
      <c r="E21" s="74">
        <v>0.62501307434829334</v>
      </c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</row>
    <row r="22" spans="1:17" x14ac:dyDescent="0.35">
      <c r="A22" s="47" t="s">
        <v>8</v>
      </c>
      <c r="B22" s="34">
        <f>1/D20</f>
        <v>2</v>
      </c>
      <c r="C22" s="36">
        <f>1/D21</f>
        <v>0.33333333333333331</v>
      </c>
      <c r="D22" s="34">
        <v>1</v>
      </c>
      <c r="E22" s="74">
        <v>0.2384871226628453</v>
      </c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</row>
    <row r="23" spans="1:17" x14ac:dyDescent="0.35">
      <c r="A23" s="31"/>
      <c r="B23" s="31"/>
      <c r="C23" s="31"/>
      <c r="D23" s="72" t="s">
        <v>28</v>
      </c>
      <c r="E23" s="75">
        <v>3.0182947072896305</v>
      </c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</row>
    <row r="24" spans="1:17" x14ac:dyDescent="0.35">
      <c r="A24" s="31"/>
      <c r="B24" s="31"/>
      <c r="C24" s="31"/>
      <c r="D24" s="73" t="s">
        <v>29</v>
      </c>
      <c r="E24" s="75">
        <v>1.5771299387612459E-2</v>
      </c>
      <c r="F24" s="76" t="str">
        <f>IF(E24&lt;0.1, "&lt; 0.1", "&gt; 0.1")</f>
        <v>&lt; 0.1</v>
      </c>
      <c r="G24" s="37"/>
      <c r="H24" s="31"/>
      <c r="I24" s="31"/>
      <c r="J24" s="31"/>
      <c r="K24" s="31"/>
      <c r="L24" s="31"/>
      <c r="M24" s="31"/>
      <c r="N24" s="31"/>
      <c r="O24" s="31"/>
      <c r="P24" s="31"/>
      <c r="Q24" s="31"/>
    </row>
    <row r="25" spans="1:17" x14ac:dyDescent="0.35">
      <c r="A25" s="31"/>
      <c r="B25" s="31"/>
      <c r="C25" s="31"/>
      <c r="D25" s="31"/>
      <c r="E25" s="31"/>
      <c r="F25" s="38"/>
      <c r="G25" s="37"/>
      <c r="H25" s="31"/>
      <c r="I25" s="31"/>
      <c r="J25" s="31"/>
      <c r="K25" s="31"/>
      <c r="L25" s="31"/>
      <c r="M25" s="31"/>
      <c r="N25" s="31"/>
      <c r="O25" s="31"/>
      <c r="P25" s="31"/>
      <c r="Q25" s="31"/>
    </row>
    <row r="26" spans="1:17" x14ac:dyDescent="0.3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</row>
    <row r="27" spans="1:17" x14ac:dyDescent="0.35">
      <c r="A27" s="66" t="s">
        <v>36</v>
      </c>
      <c r="B27" s="65"/>
      <c r="C27" s="65"/>
      <c r="D27" s="65"/>
      <c r="E27" s="65"/>
      <c r="F27" s="65"/>
      <c r="G27" s="65"/>
      <c r="H27" s="65"/>
      <c r="I27" s="31"/>
      <c r="J27" s="31"/>
      <c r="K27" s="31"/>
      <c r="L27" s="31"/>
      <c r="M27" s="31"/>
      <c r="N27" s="31"/>
      <c r="O27" s="31"/>
      <c r="P27" s="31"/>
      <c r="Q27" s="31"/>
    </row>
    <row r="28" spans="1:17" x14ac:dyDescent="0.3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</row>
    <row r="29" spans="1:17" x14ac:dyDescent="0.35">
      <c r="A29" s="47"/>
      <c r="B29" s="56" t="s">
        <v>9</v>
      </c>
      <c r="C29" s="56" t="s">
        <v>10</v>
      </c>
      <c r="D29" s="56" t="s">
        <v>11</v>
      </c>
      <c r="E29" s="46" t="s">
        <v>30</v>
      </c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</row>
    <row r="30" spans="1:17" x14ac:dyDescent="0.35">
      <c r="A30" s="47" t="s">
        <v>6</v>
      </c>
      <c r="B30" s="34">
        <v>1</v>
      </c>
      <c r="C30" s="43">
        <f>1/4</f>
        <v>0.25</v>
      </c>
      <c r="D30" s="43">
        <f>1/5</f>
        <v>0.2</v>
      </c>
      <c r="E30" s="74">
        <f t="array" ref="E30:E34">AHPmat_Power(B30:D32)</f>
        <v>9.7390069152520894E-2</v>
      </c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</row>
    <row r="31" spans="1:17" x14ac:dyDescent="0.35">
      <c r="A31" s="47" t="s">
        <v>7</v>
      </c>
      <c r="B31" s="34">
        <f>1/C30</f>
        <v>4</v>
      </c>
      <c r="C31" s="34">
        <v>1</v>
      </c>
      <c r="D31" s="43">
        <f>1/2</f>
        <v>0.5</v>
      </c>
      <c r="E31" s="74">
        <v>0.33306935139198174</v>
      </c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</row>
    <row r="32" spans="1:17" x14ac:dyDescent="0.35">
      <c r="A32" s="47" t="s">
        <v>8</v>
      </c>
      <c r="B32" s="34">
        <f>1/D30</f>
        <v>5</v>
      </c>
      <c r="C32" s="34">
        <f>1/D31</f>
        <v>2</v>
      </c>
      <c r="D32" s="34">
        <v>1</v>
      </c>
      <c r="E32" s="74">
        <v>0.56954057945549741</v>
      </c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</row>
    <row r="33" spans="1:17" x14ac:dyDescent="0.35">
      <c r="A33" s="31"/>
      <c r="B33" s="31"/>
      <c r="C33" s="31"/>
      <c r="D33" s="72" t="s">
        <v>28</v>
      </c>
      <c r="E33" s="75">
        <v>3.0245950686234955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</row>
    <row r="34" spans="1:17" x14ac:dyDescent="0.35">
      <c r="A34" s="31"/>
      <c r="B34" s="31"/>
      <c r="C34" s="31"/>
      <c r="D34" s="73" t="s">
        <v>29</v>
      </c>
      <c r="E34" s="75">
        <v>2.1202645365082307E-2</v>
      </c>
      <c r="F34" s="76" t="str">
        <f>IF(E34&lt;0.1, "&lt; 0.1", "&gt; 0.1")</f>
        <v>&lt; 0.1</v>
      </c>
      <c r="G34" s="41"/>
      <c r="H34" s="31"/>
      <c r="I34" s="31"/>
      <c r="J34" s="31"/>
      <c r="K34" s="31"/>
      <c r="L34" s="31"/>
      <c r="M34" s="31"/>
      <c r="N34" s="31"/>
      <c r="O34" s="31"/>
      <c r="P34" s="31"/>
      <c r="Q34" s="31"/>
    </row>
    <row r="35" spans="1:17" x14ac:dyDescent="0.35">
      <c r="A35" s="31"/>
      <c r="B35" s="31"/>
      <c r="C35" s="31"/>
      <c r="D35" s="31"/>
      <c r="E35" s="31"/>
      <c r="F35" s="45"/>
      <c r="G35" s="41"/>
      <c r="H35" s="31"/>
      <c r="I35" s="31"/>
      <c r="J35" s="31"/>
      <c r="K35" s="31"/>
      <c r="L35" s="31"/>
      <c r="M35" s="31"/>
      <c r="N35" s="31"/>
      <c r="O35" s="31"/>
      <c r="P35" s="31"/>
      <c r="Q35" s="31"/>
    </row>
    <row r="36" spans="1:17" x14ac:dyDescent="0.35">
      <c r="A36" s="31"/>
      <c r="B36" s="31"/>
      <c r="C36" s="31"/>
      <c r="D36" s="31"/>
      <c r="E36" s="31"/>
      <c r="F36" s="35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</row>
    <row r="37" spans="1:17" x14ac:dyDescent="0.35">
      <c r="A37" s="66" t="s">
        <v>37</v>
      </c>
      <c r="B37" s="65"/>
      <c r="C37" s="65"/>
      <c r="D37" s="65"/>
      <c r="E37" s="65"/>
      <c r="F37" s="65"/>
      <c r="G37" s="65"/>
      <c r="H37" s="65"/>
      <c r="I37" s="31"/>
      <c r="J37" s="31"/>
      <c r="K37" s="31"/>
      <c r="L37" s="31"/>
      <c r="M37" s="31"/>
      <c r="N37" s="31"/>
      <c r="O37" s="31"/>
      <c r="P37" s="31"/>
      <c r="Q37" s="31"/>
    </row>
    <row r="38" spans="1:17" x14ac:dyDescent="0.35">
      <c r="H38" s="31"/>
      <c r="I38" s="31"/>
      <c r="J38" s="31"/>
      <c r="K38" s="31"/>
      <c r="L38" s="31"/>
      <c r="M38" s="31"/>
      <c r="N38" s="31"/>
      <c r="O38" s="31"/>
      <c r="P38" s="31"/>
      <c r="Q38" s="31"/>
    </row>
    <row r="39" spans="1:17" x14ac:dyDescent="0.35">
      <c r="A39" s="47"/>
      <c r="B39" s="56" t="s">
        <v>9</v>
      </c>
      <c r="C39" s="56" t="s">
        <v>10</v>
      </c>
      <c r="D39" s="56" t="s">
        <v>11</v>
      </c>
      <c r="E39" s="46" t="s">
        <v>31</v>
      </c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</row>
    <row r="40" spans="1:17" x14ac:dyDescent="0.35">
      <c r="A40" s="47" t="s">
        <v>6</v>
      </c>
      <c r="B40" s="34">
        <v>1</v>
      </c>
      <c r="C40" s="42">
        <v>3</v>
      </c>
      <c r="D40" s="43">
        <f>1/3</f>
        <v>0.33333333333333331</v>
      </c>
      <c r="E40" s="74">
        <f t="array" ref="E40:E44">AHPmat_Power(B40:D42)</f>
        <v>0.24263692173195622</v>
      </c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</row>
    <row r="41" spans="1:17" x14ac:dyDescent="0.35">
      <c r="A41" s="47" t="s">
        <v>7</v>
      </c>
      <c r="B41" s="36">
        <f>1/C40</f>
        <v>0.33333333333333331</v>
      </c>
      <c r="C41" s="34">
        <v>1</v>
      </c>
      <c r="D41" s="43">
        <f>1/7</f>
        <v>0.14285714285714285</v>
      </c>
      <c r="E41" s="74">
        <v>8.7946208819056029E-2</v>
      </c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</row>
    <row r="42" spans="1:17" x14ac:dyDescent="0.35">
      <c r="A42" s="47" t="s">
        <v>8</v>
      </c>
      <c r="B42" s="34">
        <f>1/D40</f>
        <v>3</v>
      </c>
      <c r="C42" s="34">
        <f>1/D41</f>
        <v>7</v>
      </c>
      <c r="D42" s="34">
        <v>1</v>
      </c>
      <c r="E42" s="74">
        <v>0.66941686944898771</v>
      </c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</row>
    <row r="43" spans="1:17" x14ac:dyDescent="0.35">
      <c r="A43" s="31"/>
      <c r="B43" s="31"/>
      <c r="C43" s="37"/>
      <c r="D43" s="72" t="s">
        <v>28</v>
      </c>
      <c r="E43" s="75">
        <v>3.0070217651299322</v>
      </c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</row>
    <row r="44" spans="1:17" x14ac:dyDescent="0.35">
      <c r="A44" s="31"/>
      <c r="B44" s="31"/>
      <c r="C44" s="37"/>
      <c r="D44" s="73" t="s">
        <v>29</v>
      </c>
      <c r="E44" s="75">
        <v>6.0532458016657291E-3</v>
      </c>
      <c r="F44" s="76" t="str">
        <f>IF(D45&lt;0.1, "&lt; 0.1", "&gt; 0.1")</f>
        <v>&lt; 0.1</v>
      </c>
      <c r="G44" s="37"/>
      <c r="H44" s="31"/>
      <c r="I44" s="31"/>
      <c r="J44" s="31"/>
      <c r="K44" s="31"/>
      <c r="L44" s="31"/>
      <c r="M44" s="31"/>
      <c r="N44" s="31"/>
      <c r="O44" s="31"/>
      <c r="P44" s="31"/>
      <c r="Q44" s="31"/>
    </row>
    <row r="45" spans="1:17" x14ac:dyDescent="0.35">
      <c r="A45" s="31"/>
      <c r="B45" s="31"/>
      <c r="C45" s="37"/>
      <c r="D45" s="37"/>
      <c r="E45" s="31"/>
      <c r="F45" s="38"/>
      <c r="G45" s="37"/>
      <c r="H45" s="31"/>
      <c r="I45" s="31"/>
      <c r="J45" s="31"/>
      <c r="K45" s="31"/>
      <c r="L45" s="31"/>
      <c r="M45" s="31"/>
      <c r="N45" s="31"/>
      <c r="O45" s="31"/>
      <c r="P45" s="31"/>
      <c r="Q45" s="31"/>
    </row>
    <row r="46" spans="1:17" x14ac:dyDescent="0.35">
      <c r="A46" s="31"/>
      <c r="B46" s="31"/>
      <c r="C46" s="31"/>
      <c r="D46" s="31"/>
      <c r="E46" s="31"/>
      <c r="F46" s="35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1:17" x14ac:dyDescent="0.35">
      <c r="A47" s="66" t="s">
        <v>38</v>
      </c>
      <c r="B47" s="65"/>
      <c r="C47" s="65"/>
      <c r="D47" s="65"/>
      <c r="E47" s="65"/>
      <c r="F47" s="65"/>
      <c r="G47" s="65"/>
      <c r="H47" s="65"/>
      <c r="I47" s="31"/>
      <c r="J47" s="31"/>
      <c r="K47" s="31"/>
      <c r="L47" s="31"/>
      <c r="M47" s="31"/>
      <c r="N47" s="31"/>
      <c r="O47" s="31"/>
      <c r="P47" s="31"/>
      <c r="Q47" s="31"/>
    </row>
    <row r="48" spans="1:17" x14ac:dyDescent="0.3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 x14ac:dyDescent="0.35">
      <c r="A49" s="47"/>
      <c r="B49" s="56" t="s">
        <v>9</v>
      </c>
      <c r="C49" s="56" t="s">
        <v>10</v>
      </c>
      <c r="D49" s="56" t="s">
        <v>11</v>
      </c>
      <c r="E49" s="46" t="s">
        <v>30</v>
      </c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</row>
    <row r="50" spans="1:17" x14ac:dyDescent="0.35">
      <c r="A50" s="47" t="s">
        <v>6</v>
      </c>
      <c r="B50" s="34">
        <v>1</v>
      </c>
      <c r="C50" s="43">
        <f>1/3</f>
        <v>0.33333333333333331</v>
      </c>
      <c r="D50" s="42">
        <v>5</v>
      </c>
      <c r="E50" s="74">
        <f t="array" ref="E50:E54">AHPmat_Power(B50:D52)</f>
        <v>0.27895456548641834</v>
      </c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</row>
    <row r="51" spans="1:17" x14ac:dyDescent="0.35">
      <c r="A51" s="47" t="s">
        <v>7</v>
      </c>
      <c r="B51" s="34">
        <f>1/C50</f>
        <v>3</v>
      </c>
      <c r="C51" s="34">
        <v>1</v>
      </c>
      <c r="D51" s="42">
        <v>7</v>
      </c>
      <c r="E51" s="74">
        <v>0.6491180046313253</v>
      </c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</row>
    <row r="52" spans="1:17" x14ac:dyDescent="0.35">
      <c r="A52" s="47" t="s">
        <v>8</v>
      </c>
      <c r="B52" s="36">
        <f>1/D50</f>
        <v>0.2</v>
      </c>
      <c r="C52" s="36">
        <f>1/D51</f>
        <v>0.14285714285714285</v>
      </c>
      <c r="D52" s="34">
        <v>1</v>
      </c>
      <c r="E52" s="74">
        <v>7.1927429882256463E-2</v>
      </c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</row>
    <row r="53" spans="1:17" x14ac:dyDescent="0.35">
      <c r="A53" s="31"/>
      <c r="B53" s="31"/>
      <c r="C53" s="37"/>
      <c r="D53" s="72" t="s">
        <v>28</v>
      </c>
      <c r="E53" s="75">
        <v>3.0648875798728188</v>
      </c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</row>
    <row r="54" spans="1:17" x14ac:dyDescent="0.35">
      <c r="A54" s="31"/>
      <c r="B54" s="31"/>
      <c r="C54" s="37"/>
      <c r="D54" s="73" t="s">
        <v>29</v>
      </c>
      <c r="E54" s="75">
        <v>5.5937568855878271E-2</v>
      </c>
      <c r="F54" s="76" t="str">
        <f>IF(E54&lt;0.1, "&lt; 0.1", "&gt; 0.1")</f>
        <v>&lt; 0.1</v>
      </c>
      <c r="G54" s="37"/>
      <c r="H54" s="31"/>
      <c r="I54" s="31"/>
      <c r="J54" s="31"/>
      <c r="K54" s="31"/>
      <c r="L54" s="31"/>
      <c r="M54" s="31"/>
      <c r="N54" s="31"/>
      <c r="O54" s="31"/>
      <c r="P54" s="31"/>
      <c r="Q54" s="31"/>
    </row>
    <row r="55" spans="1:17" x14ac:dyDescent="0.35">
      <c r="A55" s="31"/>
      <c r="B55" s="38"/>
      <c r="C55" s="38"/>
      <c r="D55" s="38"/>
      <c r="E55" s="31"/>
      <c r="F55" s="38"/>
      <c r="G55" s="37"/>
      <c r="H55" s="31"/>
      <c r="I55" s="31"/>
      <c r="J55" s="31"/>
      <c r="K55" s="31"/>
      <c r="L55" s="31"/>
      <c r="M55" s="31"/>
      <c r="N55" s="31"/>
      <c r="O55" s="31"/>
      <c r="P55" s="31"/>
      <c r="Q55" s="31"/>
    </row>
    <row r="56" spans="1:17" x14ac:dyDescent="0.35">
      <c r="A56" s="31"/>
      <c r="B56" s="31"/>
      <c r="C56" s="31"/>
      <c r="D56" s="31"/>
      <c r="E56" s="31"/>
      <c r="F56" s="35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</row>
    <row r="57" spans="1:17" x14ac:dyDescent="0.35">
      <c r="A57" s="66" t="s">
        <v>39</v>
      </c>
      <c r="B57" s="65"/>
      <c r="C57" s="65"/>
      <c r="D57" s="65"/>
      <c r="E57" s="65"/>
      <c r="F57" s="65"/>
      <c r="G57" s="65"/>
      <c r="H57" s="65"/>
      <c r="I57" s="31"/>
      <c r="J57" s="31"/>
      <c r="K57" s="31"/>
      <c r="L57" s="31"/>
      <c r="M57" s="31"/>
      <c r="N57" s="31"/>
      <c r="O57" s="31"/>
      <c r="P57" s="31"/>
      <c r="Q57" s="31"/>
    </row>
    <row r="58" spans="1:17" x14ac:dyDescent="0.3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</row>
    <row r="59" spans="1:17" x14ac:dyDescent="0.35">
      <c r="A59" s="47"/>
      <c r="B59" s="56" t="s">
        <v>9</v>
      </c>
      <c r="C59" s="56" t="s">
        <v>10</v>
      </c>
      <c r="D59" s="56" t="s">
        <v>11</v>
      </c>
      <c r="E59" s="46" t="s">
        <v>30</v>
      </c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</row>
    <row r="60" spans="1:17" x14ac:dyDescent="0.35">
      <c r="A60" s="47" t="s">
        <v>6</v>
      </c>
      <c r="B60" s="34">
        <v>1</v>
      </c>
      <c r="C60" s="42">
        <v>1</v>
      </c>
      <c r="D60" s="42">
        <v>7</v>
      </c>
      <c r="E60" s="74">
        <f t="array" ref="E60:E64">AHPmat_Power(B60:D62)</f>
        <v>0.46666666666666662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</row>
    <row r="61" spans="1:17" x14ac:dyDescent="0.35">
      <c r="A61" s="47" t="s">
        <v>7</v>
      </c>
      <c r="B61" s="34">
        <f>1/C60</f>
        <v>1</v>
      </c>
      <c r="C61" s="34">
        <v>1</v>
      </c>
      <c r="D61" s="42">
        <v>7</v>
      </c>
      <c r="E61" s="74">
        <v>0.46666666666666662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</row>
    <row r="62" spans="1:17" x14ac:dyDescent="0.35">
      <c r="A62" s="47" t="s">
        <v>8</v>
      </c>
      <c r="B62" s="36">
        <f>1/D60</f>
        <v>0.14285714285714285</v>
      </c>
      <c r="C62" s="36">
        <f>1/D61</f>
        <v>0.14285714285714285</v>
      </c>
      <c r="D62" s="34">
        <v>1</v>
      </c>
      <c r="E62" s="74">
        <v>6.6666666666666666E-2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</row>
    <row r="63" spans="1:17" x14ac:dyDescent="0.35">
      <c r="A63" s="31"/>
      <c r="B63" s="31"/>
      <c r="C63" s="37"/>
      <c r="D63" s="72" t="s">
        <v>28</v>
      </c>
      <c r="E63" s="75">
        <v>3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</row>
    <row r="64" spans="1:17" x14ac:dyDescent="0.35">
      <c r="A64" s="31"/>
      <c r="B64" s="31"/>
      <c r="C64" s="37"/>
      <c r="D64" s="73" t="s">
        <v>29</v>
      </c>
      <c r="E64" s="75">
        <v>0</v>
      </c>
      <c r="F64" s="76" t="str">
        <f>IF(E64&lt;0.1, "&lt; 0.1", "&gt; 0.1")</f>
        <v>&lt; 0.1</v>
      </c>
      <c r="G64" s="37"/>
      <c r="H64" s="31"/>
      <c r="I64" s="31"/>
      <c r="J64" s="31"/>
      <c r="K64" s="31"/>
      <c r="L64" s="31"/>
      <c r="M64" s="31"/>
      <c r="N64" s="31"/>
      <c r="O64" s="31"/>
      <c r="P64" s="31"/>
      <c r="Q64" s="31"/>
    </row>
    <row r="65" spans="1:17" x14ac:dyDescent="0.35">
      <c r="A65" s="31"/>
      <c r="B65" s="31"/>
      <c r="C65" s="38"/>
      <c r="D65" s="38"/>
      <c r="E65" s="31"/>
      <c r="F65" s="38"/>
      <c r="G65" s="37"/>
      <c r="H65" s="31"/>
      <c r="I65" s="31"/>
      <c r="J65" s="31"/>
      <c r="K65" s="31"/>
      <c r="L65" s="31"/>
      <c r="M65" s="31"/>
      <c r="N65" s="31"/>
      <c r="O65" s="31"/>
      <c r="P65" s="31"/>
      <c r="Q65" s="31"/>
    </row>
    <row r="66" spans="1:17" x14ac:dyDescent="0.35">
      <c r="A66" s="31"/>
      <c r="B66" s="31"/>
      <c r="C66" s="31"/>
      <c r="D66" s="31"/>
      <c r="E66" s="31"/>
      <c r="F66" s="35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</row>
    <row r="67" spans="1:17" x14ac:dyDescent="0.35">
      <c r="A67" s="66" t="s">
        <v>40</v>
      </c>
      <c r="B67" s="65"/>
      <c r="C67" s="65"/>
      <c r="D67" s="65"/>
      <c r="E67" s="65"/>
      <c r="F67" s="65"/>
      <c r="G67" s="65"/>
      <c r="H67" s="65"/>
      <c r="I67" s="31"/>
      <c r="J67" s="31"/>
      <c r="K67" s="31"/>
      <c r="L67" s="31"/>
      <c r="M67" s="31"/>
      <c r="N67" s="31"/>
      <c r="O67" s="31"/>
      <c r="P67" s="31"/>
      <c r="Q67" s="31"/>
    </row>
    <row r="68" spans="1:17" x14ac:dyDescent="0.3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</row>
    <row r="69" spans="1:17" x14ac:dyDescent="0.35">
      <c r="A69" s="47"/>
      <c r="B69" s="56" t="s">
        <v>9</v>
      </c>
      <c r="C69" s="56" t="s">
        <v>10</v>
      </c>
      <c r="D69" s="56" t="s">
        <v>11</v>
      </c>
      <c r="E69" s="46" t="s">
        <v>30</v>
      </c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</row>
    <row r="70" spans="1:17" x14ac:dyDescent="0.35">
      <c r="A70" s="47" t="s">
        <v>6</v>
      </c>
      <c r="B70" s="34">
        <v>1</v>
      </c>
      <c r="C70" s="42">
        <v>7</v>
      </c>
      <c r="D70" s="42">
        <v>9</v>
      </c>
      <c r="E70" s="74">
        <f t="array" ref="E70:E74">AHPmat_Power(B70:D72)</f>
        <v>0.79275736316681744</v>
      </c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</row>
    <row r="71" spans="1:17" x14ac:dyDescent="0.35">
      <c r="A71" s="47" t="s">
        <v>7</v>
      </c>
      <c r="B71" s="36">
        <f>1/C70</f>
        <v>0.14285714285714285</v>
      </c>
      <c r="C71" s="34">
        <v>1</v>
      </c>
      <c r="D71" s="42">
        <v>2</v>
      </c>
      <c r="E71" s="74">
        <v>0.13122122463322766</v>
      </c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</row>
    <row r="72" spans="1:17" x14ac:dyDescent="0.35">
      <c r="A72" s="47" t="s">
        <v>8</v>
      </c>
      <c r="B72" s="36">
        <f>1/D70</f>
        <v>0.1111111111111111</v>
      </c>
      <c r="C72" s="36">
        <f>1/D71</f>
        <v>0.5</v>
      </c>
      <c r="D72" s="34">
        <v>1</v>
      </c>
      <c r="E72" s="74">
        <v>7.602141219995491E-2</v>
      </c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</row>
    <row r="73" spans="1:17" x14ac:dyDescent="0.35">
      <c r="A73" s="31"/>
      <c r="B73" s="31"/>
      <c r="C73" s="37"/>
      <c r="D73" s="72" t="s">
        <v>28</v>
      </c>
      <c r="E73" s="75">
        <v>3.0217299222926655</v>
      </c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</row>
    <row r="74" spans="1:17" x14ac:dyDescent="0.35">
      <c r="A74" s="31"/>
      <c r="B74" s="31"/>
      <c r="C74" s="37"/>
      <c r="D74" s="73" t="s">
        <v>29</v>
      </c>
      <c r="E74" s="75">
        <v>1.8732691631608157E-2</v>
      </c>
      <c r="F74" s="76" t="str">
        <f>IF(E74&lt;0.1, "&lt; 0.1", "&gt; 0.1")</f>
        <v>&lt; 0.1</v>
      </c>
      <c r="G74" s="37"/>
      <c r="H74" s="31"/>
      <c r="I74" s="31"/>
      <c r="J74" s="31"/>
      <c r="K74" s="31"/>
      <c r="L74" s="31"/>
      <c r="M74" s="31"/>
      <c r="N74" s="31"/>
      <c r="O74" s="31"/>
      <c r="P74" s="31"/>
      <c r="Q74" s="31"/>
    </row>
    <row r="75" spans="1:17" x14ac:dyDescent="0.35">
      <c r="A75" s="31"/>
      <c r="B75" s="31"/>
      <c r="C75" s="38"/>
      <c r="D75" s="38"/>
      <c r="E75" s="31"/>
      <c r="F75" s="38"/>
      <c r="G75" s="37"/>
      <c r="H75" s="31"/>
      <c r="I75" s="31"/>
      <c r="J75" s="31"/>
      <c r="K75" s="31"/>
      <c r="L75" s="31"/>
      <c r="M75" s="31"/>
      <c r="N75" s="31"/>
      <c r="O75" s="31"/>
      <c r="P75" s="31"/>
      <c r="Q75" s="31"/>
    </row>
    <row r="76" spans="1:17" x14ac:dyDescent="0.3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</row>
    <row r="77" spans="1:17" x14ac:dyDescent="0.35">
      <c r="A77" s="69" t="s">
        <v>21</v>
      </c>
      <c r="B77" s="44"/>
      <c r="C77" s="44"/>
      <c r="D77" s="44"/>
      <c r="E77" s="44"/>
      <c r="F77" s="44"/>
      <c r="G77" s="44"/>
      <c r="H77" s="31"/>
      <c r="I77" s="31"/>
      <c r="J77" s="31"/>
      <c r="K77" s="31"/>
      <c r="L77" s="31"/>
      <c r="M77" s="31"/>
      <c r="N77" s="31"/>
      <c r="O77" s="31"/>
      <c r="P77" s="31"/>
      <c r="Q77" s="31"/>
    </row>
    <row r="78" spans="1:17" x14ac:dyDescent="0.35">
      <c r="A78" s="70"/>
      <c r="B78" s="71" t="s">
        <v>0</v>
      </c>
      <c r="C78" s="71" t="s">
        <v>1</v>
      </c>
      <c r="D78" s="71" t="s">
        <v>2</v>
      </c>
      <c r="E78" s="71" t="s">
        <v>3</v>
      </c>
      <c r="F78" s="71" t="s">
        <v>4</v>
      </c>
      <c r="G78" s="71" t="s">
        <v>5</v>
      </c>
      <c r="H78" s="31"/>
      <c r="I78" s="31"/>
      <c r="J78" s="31"/>
      <c r="K78" s="31"/>
      <c r="L78" s="31"/>
      <c r="M78" s="31"/>
      <c r="N78" s="31"/>
      <c r="O78" s="31"/>
      <c r="P78" s="31"/>
      <c r="Q78" s="31"/>
    </row>
    <row r="79" spans="1:17" x14ac:dyDescent="0.35">
      <c r="A79" s="57" t="s">
        <v>6</v>
      </c>
      <c r="B79" s="77">
        <f>E20</f>
        <v>0.13649980298886125</v>
      </c>
      <c r="C79" s="77">
        <f>E30</f>
        <v>9.7390069152520894E-2</v>
      </c>
      <c r="D79" s="77">
        <f>E40</f>
        <v>0.24263692173195622</v>
      </c>
      <c r="E79" s="77">
        <f>E50</f>
        <v>0.27895456548641834</v>
      </c>
      <c r="F79" s="77">
        <f>E60</f>
        <v>0.46666666666666662</v>
      </c>
      <c r="G79" s="77">
        <f>E70</f>
        <v>0.79275736316681744</v>
      </c>
      <c r="H79" s="31"/>
      <c r="I79" s="31"/>
      <c r="J79" s="31"/>
      <c r="K79" s="31"/>
      <c r="L79" s="31"/>
      <c r="M79" s="31"/>
    </row>
    <row r="80" spans="1:17" x14ac:dyDescent="0.35">
      <c r="A80" s="57" t="s">
        <v>7</v>
      </c>
      <c r="B80" s="77">
        <f>E21</f>
        <v>0.62501307434829334</v>
      </c>
      <c r="C80" s="77">
        <f>E31</f>
        <v>0.33306935139198174</v>
      </c>
      <c r="D80" s="77">
        <f>E41</f>
        <v>8.7946208819056029E-2</v>
      </c>
      <c r="E80" s="77">
        <f>E51</f>
        <v>0.6491180046313253</v>
      </c>
      <c r="F80" s="77">
        <f>E61</f>
        <v>0.46666666666666662</v>
      </c>
      <c r="G80" s="77">
        <f>E71</f>
        <v>0.13122122463322766</v>
      </c>
      <c r="H80" s="31"/>
      <c r="I80" s="31"/>
      <c r="J80" s="31"/>
      <c r="K80" s="31"/>
      <c r="L80" s="31"/>
      <c r="M80" s="31"/>
    </row>
    <row r="81" spans="1:17" x14ac:dyDescent="0.35">
      <c r="A81" s="57" t="s">
        <v>8</v>
      </c>
      <c r="B81" s="77">
        <f>E22</f>
        <v>0.2384871226628453</v>
      </c>
      <c r="C81" s="77">
        <f>E32</f>
        <v>0.56954057945549741</v>
      </c>
      <c r="D81" s="77">
        <f>E42</f>
        <v>0.66941686944898771</v>
      </c>
      <c r="E81" s="77">
        <f>E52</f>
        <v>7.1927429882256463E-2</v>
      </c>
      <c r="F81" s="77">
        <f>E62</f>
        <v>6.6666666666666666E-2</v>
      </c>
      <c r="G81" s="77">
        <f>E72</f>
        <v>7.602141219995491E-2</v>
      </c>
      <c r="H81" s="31"/>
      <c r="I81" s="31"/>
      <c r="J81" s="31"/>
      <c r="K81" s="31"/>
      <c r="L81" s="31"/>
      <c r="M81" s="31"/>
    </row>
    <row r="82" spans="1:17" x14ac:dyDescent="0.3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</row>
    <row r="83" spans="1:17" x14ac:dyDescent="0.3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</row>
    <row r="84" spans="1:17" x14ac:dyDescent="0.35">
      <c r="A84" s="68" t="s">
        <v>20</v>
      </c>
      <c r="B84" s="39"/>
      <c r="C84" s="39"/>
      <c r="D84" s="39"/>
      <c r="E84" s="39"/>
      <c r="F84" s="39"/>
      <c r="G84" s="39"/>
      <c r="H84" s="31"/>
      <c r="I84" s="31"/>
      <c r="J84" s="31"/>
      <c r="K84" s="31"/>
      <c r="L84" s="31"/>
      <c r="M84" s="31"/>
      <c r="N84" s="31"/>
      <c r="O84" s="31"/>
      <c r="P84" s="31"/>
      <c r="Q84" s="31"/>
    </row>
    <row r="85" spans="1:17" x14ac:dyDescent="0.35">
      <c r="A85" s="31"/>
      <c r="B85" s="31"/>
      <c r="C85" s="31"/>
      <c r="D85" s="31"/>
      <c r="E85" s="31"/>
      <c r="F85" s="38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</row>
    <row r="86" spans="1:17" x14ac:dyDescent="0.35">
      <c r="A86" s="47" t="s">
        <v>6</v>
      </c>
      <c r="B86" s="77">
        <f t="array" ref="B86:B88">MMULT(B79:G81, H7:H12)</f>
        <v>0.37446664624274417</v>
      </c>
      <c r="C86" s="31"/>
      <c r="D86" s="31"/>
      <c r="E86" s="31"/>
      <c r="F86" s="38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</row>
    <row r="87" spans="1:17" x14ac:dyDescent="0.35">
      <c r="A87" s="47" t="s">
        <v>7</v>
      </c>
      <c r="B87" s="77">
        <v>0.31449144690005132</v>
      </c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</row>
    <row r="88" spans="1:17" x14ac:dyDescent="0.35">
      <c r="A88" s="47" t="s">
        <v>8</v>
      </c>
      <c r="B88" s="77">
        <v>0.31104190685720456</v>
      </c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</row>
    <row r="89" spans="1:17" x14ac:dyDescent="0.3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</row>
    <row r="90" spans="1:17" x14ac:dyDescent="0.3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</row>
    <row r="91" spans="1:17" x14ac:dyDescent="0.3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</row>
    <row r="92" spans="1:17" x14ac:dyDescent="0.3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</row>
    <row r="93" spans="1:17" x14ac:dyDescent="0.3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</row>
    <row r="94" spans="1:17" x14ac:dyDescent="0.3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3"/>
  <sheetViews>
    <sheetView zoomScaleNormal="100" workbookViewId="0">
      <selection sqref="A1:E2"/>
    </sheetView>
  </sheetViews>
  <sheetFormatPr defaultRowHeight="14.5" x14ac:dyDescent="0.35"/>
  <cols>
    <col min="1" max="1" width="4.7265625" customWidth="1"/>
    <col min="2" max="2" width="11.453125" customWidth="1"/>
    <col min="3" max="3" width="12.1796875" customWidth="1"/>
    <col min="4" max="4" width="12.26953125" customWidth="1"/>
    <col min="5" max="5" width="14" customWidth="1"/>
    <col min="6" max="6" width="14.81640625" customWidth="1"/>
  </cols>
  <sheetData>
    <row r="1" spans="1:9" x14ac:dyDescent="0.35">
      <c r="A1" s="85" t="s">
        <v>32</v>
      </c>
      <c r="B1" s="86"/>
      <c r="C1" s="86"/>
      <c r="D1" s="86"/>
      <c r="E1" s="86"/>
      <c r="F1" s="63"/>
      <c r="G1" s="63"/>
      <c r="H1" s="63"/>
      <c r="I1" s="63"/>
    </row>
    <row r="2" spans="1:9" x14ac:dyDescent="0.35">
      <c r="A2" s="68" t="s">
        <v>25</v>
      </c>
      <c r="B2" s="39"/>
      <c r="C2" s="39"/>
      <c r="D2" s="39"/>
      <c r="E2" s="39"/>
      <c r="F2" s="63"/>
      <c r="G2" s="63"/>
      <c r="H2" s="63"/>
      <c r="I2" s="63"/>
    </row>
    <row r="3" spans="1:9" x14ac:dyDescent="0.35">
      <c r="A3" s="31"/>
      <c r="B3" s="31"/>
      <c r="C3" s="31"/>
      <c r="D3" s="31"/>
      <c r="E3" s="31"/>
      <c r="F3" s="31"/>
    </row>
    <row r="4" spans="1:9" x14ac:dyDescent="0.35">
      <c r="A4" s="56"/>
      <c r="B4" s="64" t="s">
        <v>14</v>
      </c>
      <c r="C4" s="64" t="s">
        <v>23</v>
      </c>
      <c r="D4" s="31"/>
      <c r="E4" s="31"/>
      <c r="F4" s="63"/>
    </row>
    <row r="5" spans="1:9" x14ac:dyDescent="0.35">
      <c r="A5" s="56">
        <v>1</v>
      </c>
      <c r="B5" s="61" t="s">
        <v>6</v>
      </c>
      <c r="C5" s="78">
        <f>$C$11*E11 +$C$15*E15+$C$19*E19+$C$23*E23+$C$27*E27+$C$31*E31</f>
        <v>0.37446664624274417</v>
      </c>
      <c r="D5" s="31" t="str">
        <f>IF(C5=MAX($C$5:$C$7), "&lt; Best Alternative", "&lt; ")</f>
        <v>&lt; Best Alternative</v>
      </c>
      <c r="E5" s="31"/>
      <c r="F5" s="63"/>
    </row>
    <row r="6" spans="1:9" x14ac:dyDescent="0.35">
      <c r="A6" s="56">
        <v>2</v>
      </c>
      <c r="B6" s="61" t="s">
        <v>7</v>
      </c>
      <c r="C6" s="78">
        <f>$C$11*E12 +$C$15*E16+$C$19*E20+$C$23*E24+$C$27*E28+$C$31*E32</f>
        <v>0.31449144690005132</v>
      </c>
      <c r="D6" s="31" t="str">
        <f t="shared" ref="D6:D7" si="0">IF(C6=MAX($C$5:$C$7), "&lt; Best Alternative", "&lt; ")</f>
        <v xml:space="preserve">&lt; </v>
      </c>
      <c r="E6" s="31"/>
      <c r="F6" s="63"/>
    </row>
    <row r="7" spans="1:9" x14ac:dyDescent="0.35">
      <c r="A7" s="56">
        <v>3</v>
      </c>
      <c r="B7" s="61" t="s">
        <v>8</v>
      </c>
      <c r="C7" s="78">
        <f>$C$11*E13 +$C$15*E17+$C$19*E21+$C$23*E25+$C$27*E29+$C$31*E33</f>
        <v>0.31104190685720456</v>
      </c>
      <c r="D7" s="31" t="str">
        <f t="shared" si="0"/>
        <v xml:space="preserve">&lt; </v>
      </c>
      <c r="E7" s="31"/>
      <c r="F7" s="63"/>
    </row>
    <row r="8" spans="1:9" x14ac:dyDescent="0.35">
      <c r="A8" s="31"/>
      <c r="B8" s="31"/>
      <c r="C8" s="31"/>
      <c r="D8" s="31"/>
      <c r="E8" s="31"/>
      <c r="F8" s="63"/>
    </row>
    <row r="9" spans="1:9" x14ac:dyDescent="0.35">
      <c r="A9" s="31"/>
      <c r="B9" s="31"/>
      <c r="C9" s="31"/>
      <c r="D9" s="31"/>
      <c r="E9" s="31"/>
      <c r="F9" s="31"/>
    </row>
    <row r="10" spans="1:9" x14ac:dyDescent="0.35">
      <c r="A10" s="58"/>
      <c r="B10" s="59" t="s">
        <v>22</v>
      </c>
      <c r="C10" s="59" t="s">
        <v>16</v>
      </c>
      <c r="D10" s="59" t="s">
        <v>14</v>
      </c>
      <c r="E10" s="59" t="s">
        <v>24</v>
      </c>
      <c r="F10" s="31"/>
    </row>
    <row r="11" spans="1:9" x14ac:dyDescent="0.35">
      <c r="A11" s="56">
        <v>1</v>
      </c>
      <c r="B11" s="55" t="s">
        <v>0</v>
      </c>
      <c r="C11" s="74">
        <f>'Base model (UDF Power)'!H7</f>
        <v>0.15840818878156127</v>
      </c>
      <c r="D11" s="56" t="s">
        <v>9</v>
      </c>
      <c r="E11" s="74">
        <f>'Base model (UDF Power)'!E20</f>
        <v>0.13649980298886125</v>
      </c>
      <c r="F11" s="31"/>
    </row>
    <row r="12" spans="1:9" x14ac:dyDescent="0.35">
      <c r="A12" s="56"/>
      <c r="B12" s="55"/>
      <c r="C12" s="74"/>
      <c r="D12" s="56" t="s">
        <v>10</v>
      </c>
      <c r="E12" s="74">
        <f>'Base model (UDF Power)'!E21</f>
        <v>0.62501307434829334</v>
      </c>
      <c r="F12" s="31"/>
    </row>
    <row r="13" spans="1:9" x14ac:dyDescent="0.35">
      <c r="A13" s="56"/>
      <c r="B13" s="55"/>
      <c r="C13" s="74"/>
      <c r="D13" s="56" t="s">
        <v>11</v>
      </c>
      <c r="E13" s="74">
        <f>'Base model (UDF Power)'!E22</f>
        <v>0.2384871226628453</v>
      </c>
      <c r="F13" s="31"/>
    </row>
    <row r="14" spans="1:9" ht="6.65" customHeight="1" x14ac:dyDescent="0.35">
      <c r="A14" s="34"/>
      <c r="B14" s="33"/>
      <c r="C14" s="75"/>
      <c r="D14" s="32"/>
      <c r="E14" s="75"/>
      <c r="F14" s="31"/>
    </row>
    <row r="15" spans="1:9" x14ac:dyDescent="0.35">
      <c r="A15" s="56">
        <v>2</v>
      </c>
      <c r="B15" s="55" t="s">
        <v>1</v>
      </c>
      <c r="C15" s="74">
        <f>'Base model (UDF Power)'!H8</f>
        <v>0.18924724593856965</v>
      </c>
      <c r="D15" s="56" t="s">
        <v>9</v>
      </c>
      <c r="E15" s="74">
        <f>'Base model (UDF Power)'!E30</f>
        <v>9.7390069152520894E-2</v>
      </c>
      <c r="F15" s="31"/>
    </row>
    <row r="16" spans="1:9" x14ac:dyDescent="0.35">
      <c r="A16" s="56"/>
      <c r="B16" s="55"/>
      <c r="C16" s="74"/>
      <c r="D16" s="56" t="s">
        <v>10</v>
      </c>
      <c r="E16" s="74">
        <f>'Base model (UDF Power)'!E31</f>
        <v>0.33306935139198174</v>
      </c>
      <c r="F16" s="31"/>
    </row>
    <row r="17" spans="1:6" x14ac:dyDescent="0.35">
      <c r="A17" s="56"/>
      <c r="B17" s="55"/>
      <c r="C17" s="74"/>
      <c r="D17" s="56" t="s">
        <v>11</v>
      </c>
      <c r="E17" s="74">
        <f>'Base model (UDF Power)'!E32</f>
        <v>0.56954057945549741</v>
      </c>
      <c r="F17" s="31"/>
    </row>
    <row r="18" spans="1:6" ht="9" customHeight="1" x14ac:dyDescent="0.35">
      <c r="A18" s="34"/>
      <c r="B18" s="33"/>
      <c r="C18" s="75"/>
      <c r="D18" s="32"/>
      <c r="E18" s="75"/>
      <c r="F18" s="31"/>
    </row>
    <row r="19" spans="1:6" x14ac:dyDescent="0.35">
      <c r="A19" s="56">
        <v>3</v>
      </c>
      <c r="B19" s="55" t="s">
        <v>2</v>
      </c>
      <c r="C19" s="74">
        <f>'Base model (UDF Power)'!H9</f>
        <v>0.197997361891012</v>
      </c>
      <c r="D19" s="56" t="s">
        <v>9</v>
      </c>
      <c r="E19" s="74">
        <f>'Base model (UDF Power)'!E40</f>
        <v>0.24263692173195622</v>
      </c>
      <c r="F19" s="31"/>
    </row>
    <row r="20" spans="1:6" x14ac:dyDescent="0.35">
      <c r="A20" s="56"/>
      <c r="B20" s="55"/>
      <c r="C20" s="74"/>
      <c r="D20" s="56" t="s">
        <v>10</v>
      </c>
      <c r="E20" s="74">
        <f>'Base model (UDF Power)'!E41</f>
        <v>8.7946208819056029E-2</v>
      </c>
      <c r="F20" s="31"/>
    </row>
    <row r="21" spans="1:6" x14ac:dyDescent="0.35">
      <c r="A21" s="56"/>
      <c r="B21" s="55"/>
      <c r="C21" s="74"/>
      <c r="D21" s="56" t="s">
        <v>11</v>
      </c>
      <c r="E21" s="74">
        <f>'Base model (UDF Power)'!E42</f>
        <v>0.66941686944898771</v>
      </c>
      <c r="F21" s="31"/>
    </row>
    <row r="22" spans="1:6" ht="7.15" customHeight="1" x14ac:dyDescent="0.35">
      <c r="A22" s="34"/>
      <c r="B22" s="33"/>
      <c r="C22" s="75"/>
      <c r="D22" s="32"/>
      <c r="E22" s="75"/>
      <c r="F22" s="31"/>
    </row>
    <row r="23" spans="1:6" x14ac:dyDescent="0.35">
      <c r="A23" s="56">
        <v>4</v>
      </c>
      <c r="B23" s="55" t="s">
        <v>3</v>
      </c>
      <c r="C23" s="74">
        <f>'Base model (UDF Power)'!H10</f>
        <v>4.8310388775416775E-2</v>
      </c>
      <c r="D23" s="56" t="s">
        <v>9</v>
      </c>
      <c r="E23" s="74">
        <f>'Base model (UDF Power)'!E50</f>
        <v>0.27895456548641834</v>
      </c>
      <c r="F23" s="31"/>
    </row>
    <row r="24" spans="1:6" x14ac:dyDescent="0.35">
      <c r="A24" s="56"/>
      <c r="B24" s="55"/>
      <c r="C24" s="74"/>
      <c r="D24" s="56" t="s">
        <v>10</v>
      </c>
      <c r="E24" s="74">
        <f>'Base model (UDF Power)'!E51</f>
        <v>0.6491180046313253</v>
      </c>
      <c r="F24" s="31"/>
    </row>
    <row r="25" spans="1:6" x14ac:dyDescent="0.35">
      <c r="A25" s="56"/>
      <c r="B25" s="55"/>
      <c r="C25" s="74"/>
      <c r="D25" s="56" t="s">
        <v>11</v>
      </c>
      <c r="E25" s="74">
        <f>'Base model (UDF Power)'!E52</f>
        <v>7.1927429882256463E-2</v>
      </c>
      <c r="F25" s="31"/>
    </row>
    <row r="26" spans="1:6" ht="7.15" customHeight="1" x14ac:dyDescent="0.35">
      <c r="A26" s="34"/>
      <c r="B26" s="33"/>
      <c r="C26" s="75"/>
      <c r="D26" s="32"/>
      <c r="E26" s="75"/>
      <c r="F26" s="31"/>
    </row>
    <row r="27" spans="1:6" x14ac:dyDescent="0.35">
      <c r="A27" s="56">
        <v>5</v>
      </c>
      <c r="B27" s="55" t="s">
        <v>4</v>
      </c>
      <c r="C27" s="74">
        <f>'Base model (UDF Power)'!H11</f>
        <v>0.15024467617043649</v>
      </c>
      <c r="D27" s="56" t="s">
        <v>9</v>
      </c>
      <c r="E27" s="74">
        <f>'Base model (UDF Power)'!E60</f>
        <v>0.46666666666666662</v>
      </c>
      <c r="F27" s="31"/>
    </row>
    <row r="28" spans="1:6" x14ac:dyDescent="0.35">
      <c r="A28" s="56"/>
      <c r="B28" s="55"/>
      <c r="C28" s="74"/>
      <c r="D28" s="56" t="s">
        <v>10</v>
      </c>
      <c r="E28" s="74">
        <f>'Base model (UDF Power)'!E61</f>
        <v>0.46666666666666662</v>
      </c>
      <c r="F28" s="31"/>
    </row>
    <row r="29" spans="1:6" x14ac:dyDescent="0.35">
      <c r="A29" s="56"/>
      <c r="B29" s="55"/>
      <c r="C29" s="74"/>
      <c r="D29" s="56" t="s">
        <v>11</v>
      </c>
      <c r="E29" s="74">
        <f>'Base model (UDF Power)'!E62</f>
        <v>6.6666666666666666E-2</v>
      </c>
      <c r="F29" s="31"/>
    </row>
    <row r="30" spans="1:6" ht="8.5" customHeight="1" x14ac:dyDescent="0.35">
      <c r="A30" s="34"/>
      <c r="B30" s="33"/>
      <c r="C30" s="75"/>
      <c r="D30" s="32"/>
      <c r="E30" s="75"/>
      <c r="F30" s="31"/>
    </row>
    <row r="31" spans="1:6" x14ac:dyDescent="0.35">
      <c r="A31" s="56">
        <v>6</v>
      </c>
      <c r="B31" s="55" t="s">
        <v>5</v>
      </c>
      <c r="C31" s="74">
        <f>'Base model (UDF Power)'!H12</f>
        <v>0.25579213844300391</v>
      </c>
      <c r="D31" s="56" t="s">
        <v>9</v>
      </c>
      <c r="E31" s="74">
        <f>'Base model (UDF Power)'!E70</f>
        <v>0.79275736316681744</v>
      </c>
      <c r="F31" s="31"/>
    </row>
    <row r="32" spans="1:6" x14ac:dyDescent="0.35">
      <c r="A32" s="56"/>
      <c r="B32" s="47"/>
      <c r="C32" s="79"/>
      <c r="D32" s="56" t="s">
        <v>10</v>
      </c>
      <c r="E32" s="74">
        <f>'Base model (UDF Power)'!E71</f>
        <v>0.13122122463322766</v>
      </c>
      <c r="F32" s="31"/>
    </row>
    <row r="33" spans="1:6" x14ac:dyDescent="0.35">
      <c r="A33" s="56"/>
      <c r="B33" s="47"/>
      <c r="C33" s="79"/>
      <c r="D33" s="56" t="s">
        <v>11</v>
      </c>
      <c r="E33" s="74">
        <f>'Base model (UDF Power)'!E72</f>
        <v>7.602141219995491E-2</v>
      </c>
      <c r="F33" s="31"/>
    </row>
    <row r="34" spans="1:6" ht="9" customHeight="1" x14ac:dyDescent="0.35">
      <c r="A34" s="31"/>
      <c r="B34" s="31"/>
      <c r="C34" s="31"/>
      <c r="D34" s="31"/>
      <c r="E34" s="60"/>
      <c r="F34" s="31"/>
    </row>
    <row r="35" spans="1:6" x14ac:dyDescent="0.35">
      <c r="F35" s="31"/>
    </row>
    <row r="36" spans="1:6" x14ac:dyDescent="0.35">
      <c r="F36" s="31"/>
    </row>
    <row r="37" spans="1:6" x14ac:dyDescent="0.35">
      <c r="F37" s="31"/>
    </row>
    <row r="38" spans="1:6" x14ac:dyDescent="0.35">
      <c r="A38" s="31"/>
      <c r="B38" s="31"/>
      <c r="C38" s="31"/>
      <c r="D38" s="31"/>
      <c r="E38" s="62"/>
      <c r="F38" s="31"/>
    </row>
    <row r="39" spans="1:6" x14ac:dyDescent="0.35">
      <c r="A39" s="31"/>
      <c r="B39" s="31"/>
      <c r="C39" s="31"/>
      <c r="D39" s="31"/>
      <c r="E39" s="31"/>
      <c r="F39" s="31"/>
    </row>
    <row r="40" spans="1:6" x14ac:dyDescent="0.35">
      <c r="A40" s="31"/>
      <c r="B40" s="31"/>
      <c r="C40" s="31"/>
      <c r="D40" s="31"/>
      <c r="E40" s="31"/>
      <c r="F40" s="31"/>
    </row>
    <row r="41" spans="1:6" x14ac:dyDescent="0.35">
      <c r="A41" s="31"/>
      <c r="B41" s="31"/>
      <c r="C41" s="31"/>
      <c r="D41" s="31"/>
      <c r="E41" s="31"/>
      <c r="F41" s="31"/>
    </row>
    <row r="42" spans="1:6" x14ac:dyDescent="0.35">
      <c r="A42" s="31"/>
      <c r="B42" s="31"/>
      <c r="C42" s="31"/>
      <c r="D42" s="31"/>
      <c r="E42" s="31"/>
      <c r="F42" s="31"/>
    </row>
    <row r="43" spans="1:6" x14ac:dyDescent="0.35">
      <c r="A43" s="1"/>
      <c r="B43" s="1"/>
      <c r="C43" s="1"/>
      <c r="D43" s="1"/>
      <c r="E43" s="1"/>
      <c r="F43" s="1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25"/>
  <sheetViews>
    <sheetView zoomScaleNormal="100" workbookViewId="0"/>
  </sheetViews>
  <sheetFormatPr defaultColWidth="8.81640625" defaultRowHeight="12.5" x14ac:dyDescent="0.25"/>
  <cols>
    <col min="1" max="1" width="3.453125" style="1" customWidth="1"/>
    <col min="2" max="3" width="10.81640625" style="1" customWidth="1"/>
    <col min="4" max="4" width="10.54296875" style="1" customWidth="1"/>
    <col min="5" max="5" width="12.81640625" style="1" customWidth="1"/>
    <col min="6" max="6" width="11.453125" style="1" customWidth="1"/>
    <col min="7" max="7" width="10" style="1" customWidth="1"/>
    <col min="8" max="8" width="11.1796875" style="1" customWidth="1"/>
    <col min="9" max="9" width="10.81640625" style="1" customWidth="1"/>
    <col min="10" max="10" width="10.1796875" style="1" customWidth="1"/>
    <col min="11" max="11" width="10" style="1" bestFit="1" customWidth="1"/>
    <col min="12" max="16384" width="8.81640625" style="1"/>
  </cols>
  <sheetData>
    <row r="1" spans="1:11" ht="15.75" customHeight="1" x14ac:dyDescent="0.25">
      <c r="A1" s="85" t="s">
        <v>27</v>
      </c>
      <c r="B1" s="85" t="s">
        <v>32</v>
      </c>
      <c r="C1" s="85"/>
      <c r="D1" s="85"/>
      <c r="E1" s="85"/>
      <c r="F1" s="85"/>
      <c r="G1" s="85"/>
      <c r="H1" s="85"/>
      <c r="I1" s="85"/>
    </row>
    <row r="2" spans="1:11" ht="13" x14ac:dyDescent="0.3">
      <c r="A2" s="68" t="s">
        <v>26</v>
      </c>
      <c r="B2" s="68"/>
      <c r="C2" s="68"/>
      <c r="D2" s="68"/>
      <c r="E2" s="68"/>
      <c r="F2" s="68"/>
      <c r="G2" s="68"/>
      <c r="H2" s="68"/>
      <c r="I2" s="68"/>
    </row>
    <row r="4" spans="1:11" ht="19.399999999999999" customHeight="1" x14ac:dyDescent="0.25">
      <c r="B4" s="83" t="s">
        <v>13</v>
      </c>
      <c r="C4" s="83" t="s">
        <v>12</v>
      </c>
      <c r="D4" s="80" t="s">
        <v>19</v>
      </c>
      <c r="E4" s="81"/>
      <c r="F4" s="81"/>
      <c r="G4" s="81"/>
      <c r="H4" s="81"/>
      <c r="I4" s="81"/>
    </row>
    <row r="5" spans="1:11" ht="15" customHeight="1" x14ac:dyDescent="0.25">
      <c r="B5" s="84"/>
      <c r="C5" s="84"/>
      <c r="D5" s="48" t="s">
        <v>0</v>
      </c>
      <c r="E5" s="49" t="s">
        <v>1</v>
      </c>
      <c r="F5" s="49" t="s">
        <v>2</v>
      </c>
      <c r="G5" s="49" t="s">
        <v>3</v>
      </c>
      <c r="H5" s="49" t="s">
        <v>4</v>
      </c>
      <c r="I5" s="49" t="s">
        <v>5</v>
      </c>
      <c r="K5" s="2"/>
    </row>
    <row r="6" spans="1:11" x14ac:dyDescent="0.25">
      <c r="A6" s="3"/>
      <c r="B6" s="50" t="s">
        <v>0</v>
      </c>
      <c r="C6" s="20">
        <f>'Base model (UDF Power)'!H7</f>
        <v>0.15840818878156127</v>
      </c>
      <c r="D6" s="4">
        <f>C6</f>
        <v>0.15840818878156127</v>
      </c>
      <c r="E6" s="7">
        <f>(1-$E$7)*C6/SUM($C$6,$C$8:$C$11)</f>
        <v>0.15840818878156121</v>
      </c>
      <c r="F6" s="7">
        <f>(1-$F$8)*C6/SUM($C$6:$C$7, $C$9:$C$11)</f>
        <v>0.15840818878156124</v>
      </c>
      <c r="G6" s="7">
        <f>(1-$G$9)*C6/SUM($C$6:$C$8, $C$10:$C$11)</f>
        <v>0.15840818878156121</v>
      </c>
      <c r="H6" s="7">
        <f>(1-$H$10)*C6/SUM($C$6:$C$9, $C$11)</f>
        <v>0.15840818878156124</v>
      </c>
      <c r="I6" s="7">
        <f>(1-$I$11)*C6/SUM($C$6:$C$10)</f>
        <v>0.15840818878156121</v>
      </c>
    </row>
    <row r="7" spans="1:11" x14ac:dyDescent="0.25">
      <c r="A7" s="3"/>
      <c r="B7" s="51" t="s">
        <v>1</v>
      </c>
      <c r="C7" s="20">
        <f>'Base model (UDF Power)'!H8</f>
        <v>0.18924724593856965</v>
      </c>
      <c r="D7" s="7">
        <f>(1-$D$6)*C7/SUM($C$7:$C$11)</f>
        <v>0.18924724593856962</v>
      </c>
      <c r="E7" s="4">
        <f>C7</f>
        <v>0.18924724593856965</v>
      </c>
      <c r="F7" s="7">
        <f>(1-$F$8)*C7/SUM($C$6:$C$7, $C$9:$C$11)</f>
        <v>0.18924724593856959</v>
      </c>
      <c r="G7" s="7">
        <f>(1-$G$9)*C7/SUM($C$6:$C$8, $C$10:$C$11)</f>
        <v>0.18924724593856959</v>
      </c>
      <c r="H7" s="7">
        <f>(1-$H$10)*C7/SUM($C$6:$C$9, $C$11)</f>
        <v>0.18924724593856962</v>
      </c>
      <c r="I7" s="7">
        <f>(1-$I$11)*C7/SUM($C$6:$C$10)</f>
        <v>0.18924724593856959</v>
      </c>
    </row>
    <row r="8" spans="1:11" x14ac:dyDescent="0.25">
      <c r="A8" s="3"/>
      <c r="B8" s="51" t="s">
        <v>2</v>
      </c>
      <c r="C8" s="20">
        <f>'Base model (UDF Power)'!H9</f>
        <v>0.197997361891012</v>
      </c>
      <c r="D8" s="7">
        <f>(1-$D$6)*C8/SUM($C$7:$C$11)</f>
        <v>0.19799736189101197</v>
      </c>
      <c r="E8" s="7">
        <f>(1-$E$7)*C8/SUM($C$6,$C$8:$C$11)</f>
        <v>0.19799736189101194</v>
      </c>
      <c r="F8" s="4">
        <f>C8</f>
        <v>0.197997361891012</v>
      </c>
      <c r="G8" s="7">
        <f>(1-$G$9)*C8/SUM($C$6:$C$8, $C$10:$C$11)</f>
        <v>0.19799736189101197</v>
      </c>
      <c r="H8" s="7">
        <f>(1-$H$10)*C8/SUM($C$6:$C$9, $C$11)</f>
        <v>0.197997361891012</v>
      </c>
      <c r="I8" s="7">
        <f>(1-$I$11)*C8/SUM($C$6:$C$10)</f>
        <v>0.19799736189101191</v>
      </c>
    </row>
    <row r="9" spans="1:11" x14ac:dyDescent="0.25">
      <c r="A9" s="3"/>
      <c r="B9" s="51" t="s">
        <v>3</v>
      </c>
      <c r="C9" s="20">
        <f>'Base model (UDF Power)'!H10</f>
        <v>4.8310388775416775E-2</v>
      </c>
      <c r="D9" s="7">
        <f>(1-$D$6)*C9/SUM($C$7:$C$11)</f>
        <v>4.8310388775416768E-2</v>
      </c>
      <c r="E9" s="7">
        <f>(1-$E$7)*C9/SUM($C$6,$C$8:$C$11)</f>
        <v>4.8310388775416761E-2</v>
      </c>
      <c r="F9" s="7">
        <f>(1-$F$8)*C9/SUM($C$6:$C$7, $C$9:$C$11)</f>
        <v>4.8310388775416761E-2</v>
      </c>
      <c r="G9" s="4">
        <f>C9</f>
        <v>4.8310388775416775E-2</v>
      </c>
      <c r="H9" s="7">
        <f>(1-$H$10)*C9/SUM($C$6:$C$9, $C$11)</f>
        <v>4.8310388775416768E-2</v>
      </c>
      <c r="I9" s="7">
        <f>(1-$I$11)*C9/SUM($C$6:$C$10)</f>
        <v>4.8310388775416761E-2</v>
      </c>
    </row>
    <row r="10" spans="1:11" x14ac:dyDescent="0.25">
      <c r="A10" s="3"/>
      <c r="B10" s="51" t="s">
        <v>4</v>
      </c>
      <c r="C10" s="20">
        <f>'Base model (UDF Power)'!H11</f>
        <v>0.15024467617043649</v>
      </c>
      <c r="D10" s="7">
        <f>(1-$D$6)*C10/SUM($C$7:$C$11)</f>
        <v>0.15024467617043646</v>
      </c>
      <c r="E10" s="7">
        <f>(1-$E$7)*C10/SUM($C$6,$C$8:$C$11)</f>
        <v>0.15024467617043646</v>
      </c>
      <c r="F10" s="7">
        <f>(1-$F$8)*C10/SUM($C$6:$C$7, $C$9:$C$11)</f>
        <v>0.15024467617043644</v>
      </c>
      <c r="G10" s="7">
        <f>(1-$G$9)*C10/SUM($C$6:$C$8, $C$10:$C$11)</f>
        <v>0.15024467617043646</v>
      </c>
      <c r="H10" s="4">
        <f>C10</f>
        <v>0.15024467617043649</v>
      </c>
      <c r="I10" s="7">
        <f>(1-$I$11)*C10/SUM($C$6:$C$10)</f>
        <v>0.15024467617043644</v>
      </c>
    </row>
    <row r="11" spans="1:11" x14ac:dyDescent="0.25">
      <c r="A11" s="3"/>
      <c r="B11" s="51" t="s">
        <v>5</v>
      </c>
      <c r="C11" s="20">
        <f>'Base model (UDF Power)'!H12</f>
        <v>0.25579213844300391</v>
      </c>
      <c r="D11" s="7">
        <f>(1-$D$6)*C11/SUM($C$7:$C$11)</f>
        <v>0.25579213844300391</v>
      </c>
      <c r="E11" s="7">
        <f>(1-$E$7)*C11/SUM($C$6,$C$8:$C$11)</f>
        <v>0.25579213844300386</v>
      </c>
      <c r="F11" s="7">
        <f>(1-$F$8)*C11/SUM($C$6:$C$7, $C$9:$C$11)</f>
        <v>0.25579213844300386</v>
      </c>
      <c r="G11" s="7">
        <f>(1-$G$9)*C11/SUM($C$6:$C$8, $C$10:$C$11)</f>
        <v>0.25579213844300386</v>
      </c>
      <c r="H11" s="7">
        <f>(1-$H$10)*C11/SUM($C$6:$C$9, $C$11)</f>
        <v>0.25579213844300391</v>
      </c>
      <c r="I11" s="4">
        <f>C11</f>
        <v>0.25579213844300391</v>
      </c>
    </row>
    <row r="12" spans="1:11" x14ac:dyDescent="0.25">
      <c r="B12" s="27" t="s">
        <v>18</v>
      </c>
      <c r="C12" s="26">
        <f t="shared" ref="C12:I12" si="0">SUM(C6:C11)</f>
        <v>1.0000000000000002</v>
      </c>
      <c r="D12" s="26">
        <f t="shared" si="0"/>
        <v>1</v>
      </c>
      <c r="E12" s="26">
        <f t="shared" si="0"/>
        <v>0.99999999999999978</v>
      </c>
      <c r="F12" s="26">
        <f t="shared" si="0"/>
        <v>0.99999999999999989</v>
      </c>
      <c r="G12" s="26">
        <f t="shared" si="0"/>
        <v>1</v>
      </c>
      <c r="H12" s="26">
        <f t="shared" si="0"/>
        <v>1</v>
      </c>
      <c r="I12" s="26">
        <f t="shared" si="0"/>
        <v>0.99999999999999978</v>
      </c>
    </row>
    <row r="13" spans="1:11" x14ac:dyDescent="0.25">
      <c r="C13" s="28"/>
      <c r="D13" s="18"/>
      <c r="E13" s="18"/>
      <c r="F13" s="18"/>
      <c r="G13" s="18"/>
      <c r="H13" s="18"/>
      <c r="I13" s="18"/>
    </row>
    <row r="15" spans="1:11" x14ac:dyDescent="0.25">
      <c r="B15" s="25"/>
      <c r="C15" s="82" t="s">
        <v>15</v>
      </c>
      <c r="D15" s="82"/>
      <c r="E15" s="82"/>
      <c r="F15" s="82"/>
      <c r="G15" s="82"/>
      <c r="H15" s="82"/>
      <c r="I15" s="21" t="s">
        <v>17</v>
      </c>
    </row>
    <row r="16" spans="1:11" x14ac:dyDescent="0.25">
      <c r="B16" s="52" t="s">
        <v>14</v>
      </c>
      <c r="C16" s="23" t="s">
        <v>0</v>
      </c>
      <c r="D16" s="11" t="s">
        <v>1</v>
      </c>
      <c r="E16" s="11" t="s">
        <v>2</v>
      </c>
      <c r="F16" s="11" t="s">
        <v>3</v>
      </c>
      <c r="G16" s="11" t="s">
        <v>4</v>
      </c>
      <c r="H16" s="19" t="s">
        <v>5</v>
      </c>
      <c r="I16" s="22" t="s">
        <v>16</v>
      </c>
    </row>
    <row r="17" spans="2:10" ht="13" x14ac:dyDescent="0.3">
      <c r="B17" s="24" t="s">
        <v>9</v>
      </c>
      <c r="C17" s="5">
        <f>'Base model (UDF Power)'!E20</f>
        <v>0.13649980298886125</v>
      </c>
      <c r="D17" s="5">
        <f>'Base model (UDF Power)'!E30</f>
        <v>9.7390069152520894E-2</v>
      </c>
      <c r="E17" s="5">
        <f>'Base model (UDF Power)'!E40</f>
        <v>0.24263692173195622</v>
      </c>
      <c r="F17" s="5">
        <f>'Base model (UDF Power)'!E50</f>
        <v>0.27895456548641834</v>
      </c>
      <c r="G17" s="5">
        <f>'Base model (UDF Power)'!E60</f>
        <v>0.46666666666666662</v>
      </c>
      <c r="H17" s="5">
        <f>'Base model (UDF Power)'!E70</f>
        <v>0.79275736316681744</v>
      </c>
      <c r="I17" s="29">
        <f t="array" ref="I17:I19">MMULT(C17:H19, C6:C11)</f>
        <v>0.37446664624274417</v>
      </c>
      <c r="J17" s="6"/>
    </row>
    <row r="18" spans="2:10" ht="13" x14ac:dyDescent="0.3">
      <c r="B18" s="11" t="s">
        <v>10</v>
      </c>
      <c r="C18" s="5">
        <f>'Base model (UDF Power)'!E21</f>
        <v>0.62501307434829334</v>
      </c>
      <c r="D18" s="5">
        <f>'Base model (UDF Power)'!E31</f>
        <v>0.33306935139198174</v>
      </c>
      <c r="E18" s="5">
        <f>'Base model (UDF Power)'!E41</f>
        <v>8.7946208819056029E-2</v>
      </c>
      <c r="F18" s="5">
        <f>'Base model (UDF Power)'!E51</f>
        <v>0.6491180046313253</v>
      </c>
      <c r="G18" s="5">
        <f>'Base model (UDF Power)'!E61</f>
        <v>0.46666666666666662</v>
      </c>
      <c r="H18" s="5">
        <f>'Base model (UDF Power)'!E71</f>
        <v>0.13122122463322766</v>
      </c>
      <c r="I18" s="30">
        <v>0.31449144690005132</v>
      </c>
    </row>
    <row r="19" spans="2:10" ht="13" x14ac:dyDescent="0.3">
      <c r="B19" s="11" t="s">
        <v>11</v>
      </c>
      <c r="C19" s="5">
        <f>'Base model (UDF Power)'!E22</f>
        <v>0.2384871226628453</v>
      </c>
      <c r="D19" s="5">
        <f>'Base model (UDF Power)'!E32</f>
        <v>0.56954057945549741</v>
      </c>
      <c r="E19" s="5">
        <f>'Base model (UDF Power)'!E42</f>
        <v>0.66941686944898771</v>
      </c>
      <c r="F19" s="5">
        <f>'Base model (UDF Power)'!E52</f>
        <v>7.1927429882256463E-2</v>
      </c>
      <c r="G19" s="5">
        <f>'Base model (UDF Power)'!E62</f>
        <v>6.6666666666666666E-2</v>
      </c>
      <c r="H19" s="5">
        <f>'Base model (UDF Power)'!E72</f>
        <v>7.602141219995491E-2</v>
      </c>
      <c r="I19" s="30">
        <v>0.31104190685720456</v>
      </c>
    </row>
    <row r="20" spans="2:10" x14ac:dyDescent="0.25">
      <c r="B20" s="27" t="s">
        <v>18</v>
      </c>
      <c r="C20" s="26">
        <f>SUM(C17:C19)</f>
        <v>0.99999999999999989</v>
      </c>
      <c r="D20" s="26">
        <f t="shared" ref="D20:I20" si="1">SUM(D17:D19)</f>
        <v>1</v>
      </c>
      <c r="E20" s="26">
        <f t="shared" si="1"/>
        <v>1</v>
      </c>
      <c r="F20" s="26">
        <f t="shared" si="1"/>
        <v>1.0000000000000002</v>
      </c>
      <c r="G20" s="26">
        <f t="shared" si="1"/>
        <v>0.99999999999999989</v>
      </c>
      <c r="H20" s="26">
        <f t="shared" si="1"/>
        <v>1</v>
      </c>
      <c r="I20" s="26">
        <f t="shared" si="1"/>
        <v>1</v>
      </c>
    </row>
    <row r="22" spans="2:10" x14ac:dyDescent="0.25">
      <c r="B22" s="8"/>
    </row>
    <row r="23" spans="2:10" x14ac:dyDescent="0.25">
      <c r="B23" s="15" t="s">
        <v>0</v>
      </c>
      <c r="C23" s="15" t="s">
        <v>9</v>
      </c>
      <c r="D23" s="15" t="s">
        <v>10</v>
      </c>
      <c r="E23" s="15" t="s">
        <v>11</v>
      </c>
      <c r="F23" s="53"/>
    </row>
    <row r="24" spans="2:10" x14ac:dyDescent="0.25">
      <c r="B24" s="15"/>
      <c r="C24" s="13">
        <f t="array" ref="C24:E24">TRANSPOSE(MMULT(C17:H19, D6:D11))</f>
        <v>0.37446664624274417</v>
      </c>
      <c r="D24" s="13">
        <v>0.31449144690005132</v>
      </c>
      <c r="E24" s="13">
        <v>0.31104190685720445</v>
      </c>
      <c r="F24" s="54"/>
    </row>
    <row r="25" spans="2:10" x14ac:dyDescent="0.25">
      <c r="B25" s="17">
        <v>0</v>
      </c>
      <c r="C25" s="12">
        <f t="dataTable" ref="C25:E35" dt2D="0" dtr="0" r1="D6"/>
        <v>0.41925783376076181</v>
      </c>
      <c r="D25" s="12">
        <v>0.25604367218802826</v>
      </c>
      <c r="E25" s="12">
        <v>0.32469849405120982</v>
      </c>
      <c r="F25" s="54"/>
    </row>
    <row r="26" spans="2:10" x14ac:dyDescent="0.25">
      <c r="B26" s="17">
        <v>0.1</v>
      </c>
      <c r="C26" s="12">
        <v>0.39098203068357179</v>
      </c>
      <c r="D26" s="12">
        <v>0.29294061240405478</v>
      </c>
      <c r="E26" s="12">
        <v>0.31607735691237332</v>
      </c>
      <c r="F26" s="54"/>
    </row>
    <row r="27" spans="2:10" x14ac:dyDescent="0.25">
      <c r="B27" s="17">
        <v>0.2</v>
      </c>
      <c r="C27" s="12">
        <v>0.36270622760638177</v>
      </c>
      <c r="D27" s="12">
        <v>0.3298375526200813</v>
      </c>
      <c r="E27" s="12">
        <v>0.30745621977353699</v>
      </c>
      <c r="F27" s="54"/>
    </row>
    <row r="28" spans="2:10" x14ac:dyDescent="0.25">
      <c r="B28" s="17">
        <v>0.3</v>
      </c>
      <c r="C28" s="12">
        <v>0.33443042452919169</v>
      </c>
      <c r="D28" s="12">
        <v>0.36673449283610782</v>
      </c>
      <c r="E28" s="12">
        <v>0.29883508263470054</v>
      </c>
      <c r="F28" s="54"/>
    </row>
    <row r="29" spans="2:10" x14ac:dyDescent="0.25">
      <c r="B29" s="17">
        <v>0.4</v>
      </c>
      <c r="C29" s="12">
        <v>0.30615462145200162</v>
      </c>
      <c r="D29" s="12">
        <v>0.40363143305213423</v>
      </c>
      <c r="E29" s="12">
        <v>0.29021394549586399</v>
      </c>
      <c r="F29" s="54"/>
    </row>
    <row r="30" spans="2:10" x14ac:dyDescent="0.25">
      <c r="B30" s="17">
        <v>0.5</v>
      </c>
      <c r="C30" s="12">
        <v>0.27787881837481154</v>
      </c>
      <c r="D30" s="12">
        <v>0.44052837326816086</v>
      </c>
      <c r="E30" s="12">
        <v>0.28159280835702755</v>
      </c>
      <c r="F30" s="54"/>
    </row>
    <row r="31" spans="2:10" x14ac:dyDescent="0.25">
      <c r="B31" s="17">
        <v>0.6</v>
      </c>
      <c r="C31" s="12">
        <v>0.24960301529762149</v>
      </c>
      <c r="D31" s="12">
        <v>0.47742531348418737</v>
      </c>
      <c r="E31" s="12">
        <v>0.2729716712181911</v>
      </c>
      <c r="F31" s="54"/>
    </row>
    <row r="32" spans="2:10" x14ac:dyDescent="0.25">
      <c r="B32" s="17">
        <v>0.7</v>
      </c>
      <c r="C32" s="12">
        <v>0.22132721222043145</v>
      </c>
      <c r="D32" s="12">
        <v>0.51432225370021389</v>
      </c>
      <c r="E32" s="12">
        <v>0.2643505340793546</v>
      </c>
      <c r="F32" s="54"/>
    </row>
    <row r="33" spans="2:6" x14ac:dyDescent="0.25">
      <c r="B33" s="17">
        <v>0.8</v>
      </c>
      <c r="C33" s="12">
        <v>0.19305140914324134</v>
      </c>
      <c r="D33" s="12">
        <v>0.5512191939162403</v>
      </c>
      <c r="E33" s="12">
        <v>0.25572939694051816</v>
      </c>
      <c r="F33" s="54"/>
    </row>
    <row r="34" spans="2:6" x14ac:dyDescent="0.25">
      <c r="B34" s="17">
        <v>0.9</v>
      </c>
      <c r="C34" s="12">
        <v>0.16477560606605129</v>
      </c>
      <c r="D34" s="12">
        <v>0.58811613413226693</v>
      </c>
      <c r="E34" s="12">
        <v>0.24710825980168177</v>
      </c>
      <c r="F34" s="54"/>
    </row>
    <row r="35" spans="2:6" x14ac:dyDescent="0.25">
      <c r="B35" s="17">
        <v>1</v>
      </c>
      <c r="C35" s="12">
        <v>0.13649980298886125</v>
      </c>
      <c r="D35" s="12">
        <v>0.62501307434829334</v>
      </c>
      <c r="E35" s="12">
        <v>0.2384871226628453</v>
      </c>
      <c r="F35" s="54"/>
    </row>
    <row r="36" spans="2:6" x14ac:dyDescent="0.25">
      <c r="B36" s="9"/>
      <c r="C36" s="10"/>
      <c r="D36" s="10"/>
      <c r="E36" s="10"/>
    </row>
    <row r="37" spans="2:6" x14ac:dyDescent="0.25">
      <c r="B37" s="9"/>
      <c r="C37" s="10"/>
      <c r="D37" s="10"/>
      <c r="E37" s="10"/>
    </row>
    <row r="38" spans="2:6" x14ac:dyDescent="0.25">
      <c r="B38" s="9"/>
      <c r="C38" s="10"/>
      <c r="D38" s="10"/>
      <c r="E38" s="10"/>
    </row>
    <row r="41" spans="2:6" x14ac:dyDescent="0.25">
      <c r="B41" s="15" t="s">
        <v>1</v>
      </c>
      <c r="C41" s="15" t="s">
        <v>9</v>
      </c>
      <c r="D41" s="15" t="s">
        <v>10</v>
      </c>
      <c r="E41" s="15" t="s">
        <v>11</v>
      </c>
      <c r="F41" s="53"/>
    </row>
    <row r="42" spans="2:6" x14ac:dyDescent="0.25">
      <c r="B42" s="13"/>
      <c r="C42" s="13">
        <f t="array" ref="C42:E42">TRANSPOSE(MMULT(C17:H19, E6:E11))</f>
        <v>0.37446664624274406</v>
      </c>
      <c r="D42" s="13">
        <v>0.31449144690005132</v>
      </c>
      <c r="E42" s="13">
        <v>0.31104190685720445</v>
      </c>
      <c r="F42" s="54"/>
    </row>
    <row r="43" spans="2:6" x14ac:dyDescent="0.25">
      <c r="B43" s="17">
        <v>0</v>
      </c>
      <c r="C43" s="12">
        <f t="dataTable" ref="C43:E53" dt2D="0" dtr="0" r1="E7"/>
        <v>0.43914231816089022</v>
      </c>
      <c r="D43" s="12">
        <v>0.31015496177213131</v>
      </c>
      <c r="E43" s="12">
        <v>0.2507027200669783</v>
      </c>
      <c r="F43" s="54"/>
    </row>
    <row r="44" spans="2:6" x14ac:dyDescent="0.25">
      <c r="B44" s="17">
        <v>0.1</v>
      </c>
      <c r="C44" s="12">
        <v>0.40496709326005331</v>
      </c>
      <c r="D44" s="12">
        <v>0.31244640073411628</v>
      </c>
      <c r="E44" s="12">
        <v>0.2825865060058303</v>
      </c>
      <c r="F44" s="54"/>
    </row>
    <row r="45" spans="2:6" x14ac:dyDescent="0.25">
      <c r="B45" s="17">
        <v>0.2</v>
      </c>
      <c r="C45" s="12">
        <v>0.3707918683592164</v>
      </c>
      <c r="D45" s="12">
        <v>0.31473783969610136</v>
      </c>
      <c r="E45" s="12">
        <v>0.31447029194468218</v>
      </c>
      <c r="F45" s="54"/>
    </row>
    <row r="46" spans="2:6" x14ac:dyDescent="0.25">
      <c r="B46" s="17">
        <v>0.3</v>
      </c>
      <c r="C46" s="12">
        <v>0.33661664345837938</v>
      </c>
      <c r="D46" s="12">
        <v>0.31702927865808639</v>
      </c>
      <c r="E46" s="12">
        <v>0.34635407788353401</v>
      </c>
      <c r="F46" s="54"/>
    </row>
    <row r="47" spans="2:6" x14ac:dyDescent="0.25">
      <c r="B47" s="17">
        <v>0.4</v>
      </c>
      <c r="C47" s="12">
        <v>0.30244141855754253</v>
      </c>
      <c r="D47" s="12">
        <v>0.31932071762007147</v>
      </c>
      <c r="E47" s="12">
        <v>0.37823786382238594</v>
      </c>
      <c r="F47" s="54"/>
    </row>
    <row r="48" spans="2:6" x14ac:dyDescent="0.25">
      <c r="B48" s="17">
        <v>0.5</v>
      </c>
      <c r="C48" s="12">
        <v>0.26826619365670556</v>
      </c>
      <c r="D48" s="12">
        <v>0.3216121565820565</v>
      </c>
      <c r="E48" s="12">
        <v>0.41012164976123788</v>
      </c>
      <c r="F48" s="54"/>
    </row>
    <row r="49" spans="2:6" x14ac:dyDescent="0.25">
      <c r="B49" s="17">
        <v>0.6</v>
      </c>
      <c r="C49" s="12">
        <v>0.23409096875586863</v>
      </c>
      <c r="D49" s="12">
        <v>0.32390359554404152</v>
      </c>
      <c r="E49" s="12">
        <v>0.44200543570008982</v>
      </c>
      <c r="F49" s="54"/>
    </row>
    <row r="50" spans="2:6" x14ac:dyDescent="0.25">
      <c r="B50" s="17">
        <v>0.7</v>
      </c>
      <c r="C50" s="12">
        <v>0.19991574385503169</v>
      </c>
      <c r="D50" s="12">
        <v>0.3261950345060266</v>
      </c>
      <c r="E50" s="12">
        <v>0.4738892216389417</v>
      </c>
      <c r="F50" s="54"/>
    </row>
    <row r="51" spans="2:6" x14ac:dyDescent="0.25">
      <c r="B51" s="17">
        <v>0.8</v>
      </c>
      <c r="C51" s="12">
        <v>0.16574051895419475</v>
      </c>
      <c r="D51" s="12">
        <v>0.32848647346801169</v>
      </c>
      <c r="E51" s="12">
        <v>0.50577300757779364</v>
      </c>
      <c r="F51" s="54"/>
    </row>
    <row r="52" spans="2:6" x14ac:dyDescent="0.25">
      <c r="B52" s="17">
        <v>0.9</v>
      </c>
      <c r="C52" s="12">
        <v>0.13156529405335782</v>
      </c>
      <c r="D52" s="12">
        <v>0.33077791242999666</v>
      </c>
      <c r="E52" s="12">
        <v>0.53765679351664553</v>
      </c>
      <c r="F52" s="54"/>
    </row>
    <row r="53" spans="2:6" x14ac:dyDescent="0.25">
      <c r="B53" s="17">
        <v>1</v>
      </c>
      <c r="C53" s="12">
        <v>9.7390069152520894E-2</v>
      </c>
      <c r="D53" s="12">
        <v>0.33306935139198174</v>
      </c>
      <c r="E53" s="12">
        <v>0.56954057945549741</v>
      </c>
      <c r="F53" s="54"/>
    </row>
    <row r="54" spans="2:6" x14ac:dyDescent="0.25">
      <c r="F54" s="10"/>
    </row>
    <row r="55" spans="2:6" x14ac:dyDescent="0.25">
      <c r="F55" s="10"/>
    </row>
    <row r="58" spans="2:6" x14ac:dyDescent="0.25">
      <c r="F58" s="10"/>
    </row>
    <row r="59" spans="2:6" x14ac:dyDescent="0.25">
      <c r="B59" s="15" t="s">
        <v>2</v>
      </c>
      <c r="C59" s="15" t="s">
        <v>9</v>
      </c>
      <c r="D59" s="15" t="s">
        <v>10</v>
      </c>
      <c r="E59" s="15" t="s">
        <v>11</v>
      </c>
      <c r="F59" s="53"/>
    </row>
    <row r="60" spans="2:6" x14ac:dyDescent="0.25">
      <c r="B60" s="13"/>
      <c r="C60" s="13">
        <f t="array" ref="C60:E60">TRANSPOSE(MMULT(C17:H19, F6:F11))</f>
        <v>0.37446664624274406</v>
      </c>
      <c r="D60" s="13">
        <v>0.31449144690005132</v>
      </c>
      <c r="E60" s="13">
        <v>0.31104190685720445</v>
      </c>
      <c r="F60" s="54"/>
    </row>
    <row r="61" spans="2:6" x14ac:dyDescent="0.25">
      <c r="B61" s="17">
        <v>0</v>
      </c>
      <c r="C61" s="12">
        <f t="dataTable" ref="C61:E71" dt2D="0" dtr="0" r1="F8"/>
        <v>0.40701259613325769</v>
      </c>
      <c r="D61" s="12">
        <v>0.37042063884731352</v>
      </c>
      <c r="E61" s="12">
        <v>0.22256676501942854</v>
      </c>
      <c r="F61" s="54"/>
    </row>
    <row r="62" spans="2:6" x14ac:dyDescent="0.25">
      <c r="B62" s="17">
        <v>0.1</v>
      </c>
      <c r="C62" s="12">
        <v>0.39057502869312755</v>
      </c>
      <c r="D62" s="12">
        <v>0.3421731958444878</v>
      </c>
      <c r="E62" s="12">
        <v>0.26725177546238449</v>
      </c>
      <c r="F62" s="54"/>
    </row>
    <row r="63" spans="2:6" x14ac:dyDescent="0.25">
      <c r="B63" s="17">
        <v>0.2</v>
      </c>
      <c r="C63" s="12">
        <v>0.37413746125299746</v>
      </c>
      <c r="D63" s="12">
        <v>0.31392575284166213</v>
      </c>
      <c r="E63" s="12">
        <v>0.31193678590534046</v>
      </c>
      <c r="F63" s="54"/>
    </row>
    <row r="64" spans="2:6" x14ac:dyDescent="0.25">
      <c r="B64" s="17">
        <v>0.3</v>
      </c>
      <c r="C64" s="12">
        <v>0.35769989381286726</v>
      </c>
      <c r="D64" s="12">
        <v>0.2856783098388363</v>
      </c>
      <c r="E64" s="12">
        <v>0.35662179634829627</v>
      </c>
      <c r="F64" s="54"/>
    </row>
    <row r="65" spans="2:6" x14ac:dyDescent="0.25">
      <c r="B65" s="17">
        <v>0.4</v>
      </c>
      <c r="C65" s="12">
        <v>0.34126232637273712</v>
      </c>
      <c r="D65" s="12">
        <v>0.25743086683601052</v>
      </c>
      <c r="E65" s="12">
        <v>0.40130680679125219</v>
      </c>
      <c r="F65" s="54"/>
    </row>
    <row r="66" spans="2:6" x14ac:dyDescent="0.25">
      <c r="B66" s="17">
        <v>0.5</v>
      </c>
      <c r="C66" s="12">
        <v>0.32482475893260698</v>
      </c>
      <c r="D66" s="12">
        <v>0.2291834238331848</v>
      </c>
      <c r="E66" s="12">
        <v>0.44599181723420817</v>
      </c>
      <c r="F66" s="54"/>
    </row>
    <row r="67" spans="2:6" x14ac:dyDescent="0.25">
      <c r="B67" s="17">
        <v>0.6</v>
      </c>
      <c r="C67" s="12">
        <v>0.30838719149247684</v>
      </c>
      <c r="D67" s="12">
        <v>0.20093598083035905</v>
      </c>
      <c r="E67" s="12">
        <v>0.49067682767716403</v>
      </c>
      <c r="F67" s="54"/>
    </row>
    <row r="68" spans="2:6" x14ac:dyDescent="0.25">
      <c r="B68" s="17">
        <v>0.7</v>
      </c>
      <c r="C68" s="12">
        <v>0.2919496240523467</v>
      </c>
      <c r="D68" s="12">
        <v>0.17268853782753332</v>
      </c>
      <c r="E68" s="12">
        <v>0.53536183812011984</v>
      </c>
      <c r="F68" s="54"/>
    </row>
    <row r="69" spans="2:6" x14ac:dyDescent="0.25">
      <c r="B69" s="17">
        <v>0.8</v>
      </c>
      <c r="C69" s="12">
        <v>0.2755120566122165</v>
      </c>
      <c r="D69" s="12">
        <v>0.14444109482470752</v>
      </c>
      <c r="E69" s="12">
        <v>0.58004684856307587</v>
      </c>
      <c r="F69" s="54"/>
    </row>
    <row r="70" spans="2:6" x14ac:dyDescent="0.25">
      <c r="B70" s="17">
        <v>0.9</v>
      </c>
      <c r="C70" s="12">
        <v>0.25907448917208636</v>
      </c>
      <c r="D70" s="12">
        <v>0.11619365182188177</v>
      </c>
      <c r="E70" s="12">
        <v>0.62473185900603179</v>
      </c>
      <c r="F70" s="54"/>
    </row>
    <row r="71" spans="2:6" x14ac:dyDescent="0.25">
      <c r="B71" s="17">
        <v>1</v>
      </c>
      <c r="C71" s="12">
        <v>0.24263692173195622</v>
      </c>
      <c r="D71" s="12">
        <v>8.7946208819056029E-2</v>
      </c>
      <c r="E71" s="12">
        <v>0.66941686944898771</v>
      </c>
      <c r="F71" s="54"/>
    </row>
    <row r="76" spans="2:6" x14ac:dyDescent="0.25">
      <c r="F76" s="10"/>
    </row>
    <row r="77" spans="2:6" x14ac:dyDescent="0.25">
      <c r="B77" s="14" t="s">
        <v>3</v>
      </c>
      <c r="C77" s="15" t="s">
        <v>9</v>
      </c>
      <c r="D77" s="15" t="s">
        <v>10</v>
      </c>
      <c r="E77" s="15" t="s">
        <v>11</v>
      </c>
      <c r="F77" s="53"/>
    </row>
    <row r="78" spans="2:6" x14ac:dyDescent="0.25">
      <c r="B78" s="13"/>
      <c r="C78" s="13">
        <f t="array" ref="C78:E78">TRANSPOSE(MMULT(C17:H19, G6:G11))</f>
        <v>0.37446664624274406</v>
      </c>
      <c r="D78" s="13">
        <v>0.31449144690005132</v>
      </c>
      <c r="E78" s="13">
        <v>0.31104190685720445</v>
      </c>
      <c r="F78" s="54"/>
    </row>
    <row r="79" spans="2:6" x14ac:dyDescent="0.25">
      <c r="B79" s="17">
        <v>0</v>
      </c>
      <c r="C79" s="12">
        <f t="dataTable" ref="C79:E89" dt2D="0" dtr="0" r1="G9"/>
        <v>0.37931510281899039</v>
      </c>
      <c r="D79" s="12">
        <v>0.29750488015821641</v>
      </c>
      <c r="E79" s="12">
        <v>0.32318001702279303</v>
      </c>
      <c r="F79" s="54"/>
    </row>
    <row r="80" spans="2:6" x14ac:dyDescent="0.25">
      <c r="B80" s="17">
        <v>0.1</v>
      </c>
      <c r="C80" s="12">
        <v>0.36927904908573317</v>
      </c>
      <c r="D80" s="12">
        <v>0.33266619260552732</v>
      </c>
      <c r="E80" s="12">
        <v>0.2980547583087394</v>
      </c>
      <c r="F80" s="54"/>
    </row>
    <row r="81" spans="2:6" x14ac:dyDescent="0.25">
      <c r="B81" s="17">
        <v>0.2</v>
      </c>
      <c r="C81" s="12">
        <v>0.359242995352476</v>
      </c>
      <c r="D81" s="12">
        <v>0.36782750505283829</v>
      </c>
      <c r="E81" s="12">
        <v>0.27292949959468571</v>
      </c>
      <c r="F81" s="54"/>
    </row>
    <row r="82" spans="2:6" x14ac:dyDescent="0.25">
      <c r="B82" s="17">
        <v>0.3</v>
      </c>
      <c r="C82" s="12">
        <v>0.34920694161921872</v>
      </c>
      <c r="D82" s="12">
        <v>0.40298881750014903</v>
      </c>
      <c r="E82" s="12">
        <v>0.24780424088063208</v>
      </c>
      <c r="F82" s="54"/>
    </row>
    <row r="83" spans="2:6" x14ac:dyDescent="0.25">
      <c r="B83" s="17">
        <v>0.4</v>
      </c>
      <c r="C83" s="12">
        <v>0.33917088788596156</v>
      </c>
      <c r="D83" s="12">
        <v>0.43815012994746005</v>
      </c>
      <c r="E83" s="12">
        <v>0.22267898216657844</v>
      </c>
      <c r="F83" s="54"/>
    </row>
    <row r="84" spans="2:6" x14ac:dyDescent="0.25">
      <c r="B84" s="17">
        <v>0.5</v>
      </c>
      <c r="C84" s="12">
        <v>0.32913483415270434</v>
      </c>
      <c r="D84" s="12">
        <v>0.47331144239477085</v>
      </c>
      <c r="E84" s="12">
        <v>0.19755372345252475</v>
      </c>
      <c r="F84" s="54"/>
    </row>
    <row r="85" spans="2:6" x14ac:dyDescent="0.25">
      <c r="B85" s="17">
        <v>0.6</v>
      </c>
      <c r="C85" s="12">
        <v>0.31909878041944717</v>
      </c>
      <c r="D85" s="12">
        <v>0.50847275484208176</v>
      </c>
      <c r="E85" s="12">
        <v>0.17242846473847109</v>
      </c>
      <c r="F85" s="54"/>
    </row>
    <row r="86" spans="2:6" x14ac:dyDescent="0.25">
      <c r="B86" s="17">
        <v>0.7</v>
      </c>
      <c r="C86" s="12">
        <v>0.30906272668618995</v>
      </c>
      <c r="D86" s="12">
        <v>0.54363406728939256</v>
      </c>
      <c r="E86" s="12">
        <v>0.14730320602441746</v>
      </c>
      <c r="F86" s="54"/>
    </row>
    <row r="87" spans="2:6" x14ac:dyDescent="0.25">
      <c r="B87" s="17">
        <v>0.8</v>
      </c>
      <c r="C87" s="12">
        <v>0.29902667295293273</v>
      </c>
      <c r="D87" s="12">
        <v>0.57879537973670359</v>
      </c>
      <c r="E87" s="12">
        <v>0.12217794731036376</v>
      </c>
      <c r="F87" s="54"/>
    </row>
    <row r="88" spans="2:6" x14ac:dyDescent="0.25">
      <c r="B88" s="17">
        <v>0.9</v>
      </c>
      <c r="C88" s="12">
        <v>0.2889906192196755</v>
      </c>
      <c r="D88" s="12">
        <v>0.61395669218401439</v>
      </c>
      <c r="E88" s="12">
        <v>9.7052688596310124E-2</v>
      </c>
      <c r="F88" s="54"/>
    </row>
    <row r="89" spans="2:6" x14ac:dyDescent="0.25">
      <c r="B89" s="17">
        <v>1</v>
      </c>
      <c r="C89" s="12">
        <v>0.27895456548641834</v>
      </c>
      <c r="D89" s="12">
        <v>0.6491180046313253</v>
      </c>
      <c r="E89" s="12">
        <v>7.1927429882256463E-2</v>
      </c>
      <c r="F89" s="54"/>
    </row>
    <row r="90" spans="2:6" x14ac:dyDescent="0.25">
      <c r="F90" s="10"/>
    </row>
    <row r="95" spans="2:6" x14ac:dyDescent="0.25">
      <c r="B95" s="14" t="s">
        <v>4</v>
      </c>
      <c r="C95" s="15" t="s">
        <v>9</v>
      </c>
      <c r="D95" s="15" t="s">
        <v>10</v>
      </c>
      <c r="E95" s="15" t="s">
        <v>11</v>
      </c>
      <c r="F95" s="53"/>
    </row>
    <row r="96" spans="2:6" x14ac:dyDescent="0.25">
      <c r="B96" s="13"/>
      <c r="C96" s="13">
        <f t="array" ref="C96:E96">TRANSPOSE(MMULT(C17:H19, H6:H11))</f>
        <v>0.37446664624274417</v>
      </c>
      <c r="D96" s="13">
        <v>0.31449144690005132</v>
      </c>
      <c r="E96" s="13">
        <v>0.31104190685720451</v>
      </c>
      <c r="F96" s="54"/>
    </row>
    <row r="97" spans="2:6" x14ac:dyDescent="0.25">
      <c r="B97" s="17">
        <v>0</v>
      </c>
      <c r="C97" s="12">
        <f t="dataTable" ref="C97:E107" dt2D="0" dtr="0" r1="H10"/>
        <v>0.35816482167862018</v>
      </c>
      <c r="D97" s="12">
        <v>0.28758544705063366</v>
      </c>
      <c r="E97" s="12">
        <v>0.35424973127074616</v>
      </c>
      <c r="F97" s="54"/>
    </row>
    <row r="98" spans="2:6" x14ac:dyDescent="0.25">
      <c r="B98" s="17">
        <v>0.1</v>
      </c>
      <c r="C98" s="12">
        <v>0.36901500617742478</v>
      </c>
      <c r="D98" s="12">
        <v>0.30549356901223695</v>
      </c>
      <c r="E98" s="12">
        <v>0.32549142481033816</v>
      </c>
      <c r="F98" s="54"/>
    </row>
    <row r="99" spans="2:6" x14ac:dyDescent="0.25">
      <c r="B99" s="17">
        <v>0.2</v>
      </c>
      <c r="C99" s="12">
        <v>0.37986519067622948</v>
      </c>
      <c r="D99" s="12">
        <v>0.32340169097384025</v>
      </c>
      <c r="E99" s="12">
        <v>0.29673311834993021</v>
      </c>
      <c r="F99" s="54"/>
    </row>
    <row r="100" spans="2:6" x14ac:dyDescent="0.25">
      <c r="B100" s="17">
        <v>0.3</v>
      </c>
      <c r="C100" s="12">
        <v>0.39071537517503407</v>
      </c>
      <c r="D100" s="12">
        <v>0.34130981293544349</v>
      </c>
      <c r="E100" s="12">
        <v>0.26797481188952227</v>
      </c>
      <c r="F100" s="54"/>
    </row>
    <row r="101" spans="2:6" x14ac:dyDescent="0.25">
      <c r="B101" s="17">
        <v>0.4</v>
      </c>
      <c r="C101" s="12">
        <v>0.40156555967383872</v>
      </c>
      <c r="D101" s="12">
        <v>0.35921793489704684</v>
      </c>
      <c r="E101" s="12">
        <v>0.23921650542911435</v>
      </c>
      <c r="F101" s="54"/>
    </row>
    <row r="102" spans="2:6" x14ac:dyDescent="0.25">
      <c r="B102" s="17">
        <v>0.5</v>
      </c>
      <c r="C102" s="12">
        <v>0.41241574417264343</v>
      </c>
      <c r="D102" s="12">
        <v>0.37712605685865008</v>
      </c>
      <c r="E102" s="12">
        <v>0.21045819896870641</v>
      </c>
      <c r="F102" s="54"/>
    </row>
    <row r="103" spans="2:6" x14ac:dyDescent="0.25">
      <c r="B103" s="17">
        <v>0.6</v>
      </c>
      <c r="C103" s="12">
        <v>0.42326592867144808</v>
      </c>
      <c r="D103" s="12">
        <v>0.39503417882025349</v>
      </c>
      <c r="E103" s="12">
        <v>0.18169989250829846</v>
      </c>
      <c r="F103" s="54"/>
    </row>
    <row r="104" spans="2:6" x14ac:dyDescent="0.25">
      <c r="B104" s="17">
        <v>0.7</v>
      </c>
      <c r="C104" s="12">
        <v>0.43411611317025267</v>
      </c>
      <c r="D104" s="12">
        <v>0.41294230078185673</v>
      </c>
      <c r="E104" s="12">
        <v>0.15294158604789052</v>
      </c>
      <c r="F104" s="54"/>
    </row>
    <row r="105" spans="2:6" x14ac:dyDescent="0.25">
      <c r="B105" s="17">
        <v>0.8</v>
      </c>
      <c r="C105" s="12">
        <v>0.44496629766905732</v>
      </c>
      <c r="D105" s="12">
        <v>0.43085042274346003</v>
      </c>
      <c r="E105" s="12">
        <v>0.12418327958748254</v>
      </c>
      <c r="F105" s="54"/>
    </row>
    <row r="106" spans="2:6" x14ac:dyDescent="0.25">
      <c r="B106" s="17">
        <v>0.9</v>
      </c>
      <c r="C106" s="12">
        <v>0.45581648216786197</v>
      </c>
      <c r="D106" s="12">
        <v>0.44875854470506332</v>
      </c>
      <c r="E106" s="12">
        <v>9.5424973127074597E-2</v>
      </c>
      <c r="F106" s="54"/>
    </row>
    <row r="107" spans="2:6" x14ac:dyDescent="0.25">
      <c r="B107" s="17">
        <v>1</v>
      </c>
      <c r="C107" s="12">
        <v>0.46666666666666662</v>
      </c>
      <c r="D107" s="12">
        <v>0.46666666666666662</v>
      </c>
      <c r="E107" s="12">
        <v>6.6666666666666666E-2</v>
      </c>
      <c r="F107" s="54"/>
    </row>
    <row r="113" spans="2:6" x14ac:dyDescent="0.25">
      <c r="B113" s="16" t="s">
        <v>5</v>
      </c>
      <c r="C113" s="15" t="s">
        <v>9</v>
      </c>
      <c r="D113" s="15" t="s">
        <v>10</v>
      </c>
      <c r="E113" s="15" t="s">
        <v>11</v>
      </c>
      <c r="F113" s="53"/>
    </row>
    <row r="114" spans="2:6" x14ac:dyDescent="0.25">
      <c r="B114" s="13"/>
      <c r="C114" s="13">
        <f t="array" ref="C114:E114">TRANSPOSE(MMULT(C17:H19, I6:I11))</f>
        <v>0.37446664624274406</v>
      </c>
      <c r="D114" s="13">
        <v>0.31449144690005132</v>
      </c>
      <c r="E114" s="13">
        <v>0.31104190685720445</v>
      </c>
      <c r="F114" s="54"/>
    </row>
    <row r="115" spans="2:6" x14ac:dyDescent="0.25">
      <c r="B115" s="17">
        <v>0</v>
      </c>
      <c r="C115" s="12">
        <f t="dataTable" ref="C115:E125" dt2D="0" dtr="0" r1="I11"/>
        <v>0.23069568855759534</v>
      </c>
      <c r="D115" s="12">
        <v>0.37748336688390804</v>
      </c>
      <c r="E115" s="12">
        <v>0.39182094455849642</v>
      </c>
      <c r="F115" s="54"/>
    </row>
    <row r="116" spans="2:6" x14ac:dyDescent="0.25">
      <c r="B116" s="17">
        <v>0.1</v>
      </c>
      <c r="C116" s="12">
        <v>0.28690185601851759</v>
      </c>
      <c r="D116" s="12">
        <v>0.3528571526588401</v>
      </c>
      <c r="E116" s="12">
        <v>0.36024099132264226</v>
      </c>
      <c r="F116" s="54"/>
    </row>
    <row r="117" spans="2:6" x14ac:dyDescent="0.25">
      <c r="B117" s="17">
        <v>0.2</v>
      </c>
      <c r="C117" s="12">
        <v>0.34310802347943981</v>
      </c>
      <c r="D117" s="12">
        <v>0.32823093843377199</v>
      </c>
      <c r="E117" s="12">
        <v>0.3286610380867882</v>
      </c>
      <c r="F117" s="54"/>
    </row>
    <row r="118" spans="2:6" x14ac:dyDescent="0.25">
      <c r="B118" s="17">
        <v>0.3</v>
      </c>
      <c r="C118" s="12">
        <v>0.39931419094036197</v>
      </c>
      <c r="D118" s="12">
        <v>0.30360472420870394</v>
      </c>
      <c r="E118" s="12">
        <v>0.29708108485093399</v>
      </c>
      <c r="F118" s="54"/>
    </row>
    <row r="119" spans="2:6" x14ac:dyDescent="0.25">
      <c r="B119" s="17">
        <v>0.4</v>
      </c>
      <c r="C119" s="12">
        <v>0.45552035840128424</v>
      </c>
      <c r="D119" s="12">
        <v>0.27897850998363588</v>
      </c>
      <c r="E119" s="12">
        <v>0.26550113161507982</v>
      </c>
      <c r="F119" s="54"/>
    </row>
    <row r="120" spans="2:6" x14ac:dyDescent="0.25">
      <c r="B120" s="17">
        <v>0.5</v>
      </c>
      <c r="C120" s="12">
        <v>0.51172652586220635</v>
      </c>
      <c r="D120" s="12">
        <v>0.25435229575856788</v>
      </c>
      <c r="E120" s="12">
        <v>0.23392117837922566</v>
      </c>
      <c r="F120" s="54"/>
    </row>
    <row r="121" spans="2:6" x14ac:dyDescent="0.25">
      <c r="B121" s="17">
        <v>0.6</v>
      </c>
      <c r="C121" s="12">
        <v>0.56793269332312857</v>
      </c>
      <c r="D121" s="12">
        <v>0.22972608153349983</v>
      </c>
      <c r="E121" s="12">
        <v>0.20234122514337155</v>
      </c>
      <c r="F121" s="54"/>
    </row>
    <row r="122" spans="2:6" x14ac:dyDescent="0.25">
      <c r="B122" s="17">
        <v>0.7</v>
      </c>
      <c r="C122" s="12">
        <v>0.62413886078405079</v>
      </c>
      <c r="D122" s="12">
        <v>0.20509986730843183</v>
      </c>
      <c r="E122" s="12">
        <v>0.17076127190751739</v>
      </c>
      <c r="F122" s="54"/>
    </row>
    <row r="123" spans="2:6" x14ac:dyDescent="0.25">
      <c r="B123" s="17">
        <v>0.8</v>
      </c>
      <c r="C123" s="12">
        <v>0.680345028244973</v>
      </c>
      <c r="D123" s="12">
        <v>0.18047365308336372</v>
      </c>
      <c r="E123" s="12">
        <v>0.1391813186716632</v>
      </c>
      <c r="F123" s="54"/>
    </row>
    <row r="124" spans="2:6" x14ac:dyDescent="0.25">
      <c r="B124" s="17">
        <v>0.9</v>
      </c>
      <c r="C124" s="12">
        <v>0.73655119570589522</v>
      </c>
      <c r="D124" s="12">
        <v>0.15584743885829569</v>
      </c>
      <c r="E124" s="12">
        <v>0.10760136543580906</v>
      </c>
      <c r="F124" s="54"/>
    </row>
    <row r="125" spans="2:6" x14ac:dyDescent="0.25">
      <c r="B125" s="17">
        <v>1</v>
      </c>
      <c r="C125" s="12">
        <v>0.79275736316681744</v>
      </c>
      <c r="D125" s="12">
        <v>0.13122122463322766</v>
      </c>
      <c r="E125" s="12">
        <v>7.602141219995491E-2</v>
      </c>
      <c r="F125" s="54"/>
    </row>
  </sheetData>
  <mergeCells count="4">
    <mergeCell ref="D4:I4"/>
    <mergeCell ref="C15:H15"/>
    <mergeCell ref="C4:C5"/>
    <mergeCell ref="B4:B5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model (UDF Power)</vt:lpstr>
      <vt:lpstr>Summary of Results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2024-08-28T05:15:37Z</dcterms:modified>
</cp:coreProperties>
</file>