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3" codeName="{3D1A710C-6663-3D7B-7F91-EC182F24A4BC}"/>
  <workbookPr filterPrivacy="1" codeName="ThisWorkbook"/>
  <xr:revisionPtr revIDLastSave="0" documentId="13_ncr:1_{C3EF2604-1A69-428F-84B4-2692BD8F4375}" xr6:coauthVersionLast="36" xr6:coauthVersionMax="36" xr10:uidLastSave="{00000000-0000-0000-0000-000000000000}"/>
  <bookViews>
    <workbookView xWindow="0" yWindow="0" windowWidth="22260" windowHeight="12650" xr2:uid="{00000000-000D-0000-FFFF-FFFF00000000}"/>
  </bookViews>
  <sheets>
    <sheet name="Base Model (UDF Algebra)" sheetId="1" r:id="rId1"/>
    <sheet name="Results" sheetId="6" r:id="rId2"/>
    <sheet name="Sensitivity Analysis" sheetId="2" r:id="rId3"/>
  </sheets>
  <functionGroups builtInGroupCount="19"/>
  <calcPr calcId="191029" iterate="1" iterateCount="500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1" i="2" l="1"/>
  <c r="H10" i="2"/>
  <c r="G9" i="2"/>
  <c r="F8" i="2"/>
  <c r="E18" i="2"/>
  <c r="D17" i="2"/>
  <c r="E7" i="2"/>
  <c r="D6" i="2"/>
  <c r="C20" i="1" l="1"/>
  <c r="D40" i="1"/>
  <c r="C41" i="1" s="1"/>
  <c r="D39" i="1"/>
  <c r="B41" i="1" s="1"/>
  <c r="C39" i="1"/>
  <c r="B40" i="1" s="1"/>
  <c r="D60" i="1"/>
  <c r="C61" i="1" s="1"/>
  <c r="B60" i="1"/>
  <c r="D59" i="1"/>
  <c r="B61" i="1" s="1"/>
  <c r="E59" i="1" a="1"/>
  <c r="E69" i="1" a="1"/>
  <c r="E79" i="1" a="1"/>
  <c r="E49" i="1" a="1"/>
  <c r="H7" i="1" a="1"/>
  <c r="E39" i="1" a="1"/>
  <c r="E89" i="1" a="1"/>
  <c r="E29" i="1" a="1"/>
  <c r="D20" i="1" a="1"/>
  <c r="D20" i="1" l="1"/>
  <c r="D22" i="1"/>
  <c r="D23" i="1"/>
  <c r="E23" i="1" s="1"/>
  <c r="D21" i="1"/>
  <c r="E31" i="1"/>
  <c r="E29" i="1"/>
  <c r="E33" i="1"/>
  <c r="F33" i="1" s="1"/>
  <c r="E32" i="1"/>
  <c r="E30" i="1"/>
  <c r="E93" i="1"/>
  <c r="F93" i="1" s="1"/>
  <c r="E91" i="1"/>
  <c r="E89" i="1"/>
  <c r="E92" i="1"/>
  <c r="E90" i="1"/>
  <c r="E42" i="1"/>
  <c r="E41" i="1"/>
  <c r="E40" i="1"/>
  <c r="E39" i="1"/>
  <c r="E43" i="1"/>
  <c r="F43" i="1" s="1"/>
  <c r="H7" i="1"/>
  <c r="H8" i="1"/>
  <c r="H9" i="1"/>
  <c r="H10" i="1"/>
  <c r="H12" i="1"/>
  <c r="H14" i="1"/>
  <c r="I14" i="1" s="1"/>
  <c r="H11" i="1"/>
  <c r="H13" i="1"/>
  <c r="E49" i="1"/>
  <c r="E51" i="1"/>
  <c r="E53" i="1"/>
  <c r="F53" i="1" s="1"/>
  <c r="E52" i="1"/>
  <c r="E50" i="1"/>
  <c r="E80" i="1"/>
  <c r="E79" i="1"/>
  <c r="E83" i="1"/>
  <c r="F83" i="1" s="1"/>
  <c r="E82" i="1"/>
  <c r="E81" i="1"/>
  <c r="E71" i="1"/>
  <c r="E70" i="1"/>
  <c r="E69" i="1"/>
  <c r="E72" i="1"/>
  <c r="E73" i="1"/>
  <c r="F73" i="1" s="1"/>
  <c r="E62" i="1"/>
  <c r="E59" i="1"/>
  <c r="E63" i="1"/>
  <c r="F63" i="1" s="1"/>
  <c r="E60" i="1"/>
  <c r="E61" i="1"/>
  <c r="B21" i="1"/>
  <c r="E16" i="6"/>
  <c r="E20" i="6"/>
  <c r="C17" i="2" l="1"/>
  <c r="C18" i="2"/>
  <c r="E17" i="2" l="1"/>
  <c r="E19" i="2" s="1"/>
  <c r="C101" i="1"/>
  <c r="H17" i="6"/>
  <c r="D26" i="2" s="1"/>
  <c r="E100" i="1"/>
  <c r="H24" i="6"/>
  <c r="C19" i="2"/>
  <c r="H26" i="6"/>
  <c r="E101" i="1" l="1"/>
  <c r="H25" i="6"/>
  <c r="C100" i="1"/>
  <c r="H16" i="6"/>
  <c r="C102" i="1"/>
  <c r="H18" i="6"/>
  <c r="D27" i="2" s="1"/>
  <c r="D18" i="2"/>
  <c r="D19" i="2" s="1"/>
  <c r="E102" i="1"/>
  <c r="C103" i="1" l="1"/>
  <c r="E103" i="1"/>
  <c r="D25" i="2"/>
  <c r="I18" i="6"/>
  <c r="F26" i="2" l="1"/>
  <c r="F27" i="2"/>
  <c r="F25" i="2" l="1"/>
  <c r="F28" i="2" s="1"/>
  <c r="I26" i="6"/>
  <c r="D28" i="2" l="1"/>
  <c r="C91" i="1" l="1"/>
  <c r="B91" i="1"/>
  <c r="B90" i="1"/>
  <c r="C81" i="1"/>
  <c r="B81" i="1"/>
  <c r="B80" i="1"/>
  <c r="C69" i="1"/>
  <c r="C71" i="1"/>
  <c r="B71" i="1"/>
  <c r="C51" i="1"/>
  <c r="B51" i="1"/>
  <c r="B50" i="1"/>
  <c r="C31" i="1"/>
  <c r="D29" i="1"/>
  <c r="B31" i="1" s="1"/>
  <c r="C29" i="1"/>
  <c r="F12" i="1"/>
  <c r="D11" i="1"/>
  <c r="D10" i="1"/>
  <c r="C11" i="1"/>
  <c r="C10" i="1"/>
  <c r="C9" i="1"/>
  <c r="B11" i="1"/>
  <c r="B10" i="1"/>
  <c r="B9" i="1"/>
  <c r="B8" i="1"/>
  <c r="G10" i="1"/>
  <c r="E12" i="1" s="1"/>
  <c r="F10" i="1"/>
  <c r="E11" i="1" s="1"/>
  <c r="G9" i="1"/>
  <c r="D12" i="1" s="1"/>
  <c r="G8" i="1"/>
  <c r="C12" i="1" s="1"/>
  <c r="G7" i="1"/>
  <c r="H33" i="6" l="1"/>
  <c r="H26" i="2" s="1"/>
  <c r="H37" i="6"/>
  <c r="I26" i="2" s="1"/>
  <c r="B30" i="1"/>
  <c r="B70" i="1"/>
  <c r="B12" i="1"/>
  <c r="H21" i="6" l="1"/>
  <c r="E26" i="2" s="1"/>
  <c r="D102" i="1"/>
  <c r="H22" i="6"/>
  <c r="E27" i="2" s="1"/>
  <c r="C24" i="6"/>
  <c r="H38" i="6"/>
  <c r="I27" i="2" s="1"/>
  <c r="H36" i="6"/>
  <c r="H32" i="6"/>
  <c r="G101" i="1"/>
  <c r="D100" i="1" l="1"/>
  <c r="H20" i="6"/>
  <c r="I22" i="6" s="1"/>
  <c r="D101" i="1"/>
  <c r="I38" i="6"/>
  <c r="I25" i="2"/>
  <c r="I28" i="2" s="1"/>
  <c r="F24" i="6"/>
  <c r="C8" i="2"/>
  <c r="G102" i="1"/>
  <c r="H34" i="6"/>
  <c r="H27" i="2" s="1"/>
  <c r="F102" i="1"/>
  <c r="H30" i="6"/>
  <c r="G27" i="2" s="1"/>
  <c r="H25" i="2"/>
  <c r="H28" i="6"/>
  <c r="C15" i="6"/>
  <c r="H11" i="6"/>
  <c r="E99" i="1"/>
  <c r="H101" i="1"/>
  <c r="H102" i="1"/>
  <c r="G100" i="1"/>
  <c r="E25" i="2" l="1"/>
  <c r="E28" i="2" s="1"/>
  <c r="D103" i="1"/>
  <c r="G103" i="1"/>
  <c r="C7" i="2"/>
  <c r="F16" i="6"/>
  <c r="F20" i="6"/>
  <c r="G25" i="2"/>
  <c r="H99" i="1"/>
  <c r="C36" i="6"/>
  <c r="F101" i="1"/>
  <c r="H29" i="6"/>
  <c r="G26" i="2" s="1"/>
  <c r="F79" i="2"/>
  <c r="F24" i="2"/>
  <c r="F102" i="2"/>
  <c r="F99" i="1"/>
  <c r="C28" i="6"/>
  <c r="I34" i="6"/>
  <c r="B99" i="1"/>
  <c r="C11" i="6"/>
  <c r="H28" i="2"/>
  <c r="F100" i="1"/>
  <c r="B101" i="1"/>
  <c r="H12" i="6"/>
  <c r="C26" i="2" s="1"/>
  <c r="B102" i="1"/>
  <c r="H13" i="6"/>
  <c r="C27" i="2" s="1"/>
  <c r="G99" i="1"/>
  <c r="C32" i="6"/>
  <c r="C25" i="2"/>
  <c r="D99" i="1"/>
  <c r="C99" i="1"/>
  <c r="B100" i="1"/>
  <c r="H100" i="1"/>
  <c r="H103" i="1" s="1"/>
  <c r="F103" i="1" l="1"/>
  <c r="I30" i="6"/>
  <c r="G28" i="2"/>
  <c r="F36" i="6"/>
  <c r="C11" i="2"/>
  <c r="C28" i="2"/>
  <c r="F28" i="6"/>
  <c r="C9" i="2"/>
  <c r="I13" i="6"/>
  <c r="B103" i="1"/>
  <c r="F32" i="6"/>
  <c r="C10" i="2"/>
  <c r="C40" i="6"/>
  <c r="F11" i="6"/>
  <c r="C6" i="2"/>
  <c r="F125" i="2"/>
  <c r="E24" i="2"/>
  <c r="D24" i="2"/>
  <c r="E102" i="2"/>
  <c r="D79" i="2"/>
  <c r="D102" i="2"/>
  <c r="E79" i="2"/>
  <c r="I99" i="1"/>
  <c r="I100" i="1" a="1"/>
  <c r="F10" i="2" l="1"/>
  <c r="H125" i="2" s="1"/>
  <c r="F11" i="2"/>
  <c r="I125" i="2" s="1"/>
  <c r="F6" i="2"/>
  <c r="C125" i="2" s="1"/>
  <c r="G24" i="2"/>
  <c r="G79" i="2"/>
  <c r="G102" i="2"/>
  <c r="C24" i="2"/>
  <c r="C79" i="2"/>
  <c r="C102" i="2"/>
  <c r="C12" i="2"/>
  <c r="D56" i="2"/>
  <c r="E56" i="2"/>
  <c r="E10" i="2"/>
  <c r="H56" i="2" s="1"/>
  <c r="E9" i="2"/>
  <c r="G56" i="2" s="1"/>
  <c r="E6" i="2"/>
  <c r="E8" i="2"/>
  <c r="F56" i="2" s="1"/>
  <c r="E11" i="2"/>
  <c r="I56" i="2" s="1"/>
  <c r="C6" i="6"/>
  <c r="C7" i="6"/>
  <c r="C5" i="6"/>
  <c r="F40" i="6"/>
  <c r="F9" i="2"/>
  <c r="G125" i="2" s="1"/>
  <c r="I24" i="2"/>
  <c r="I79" i="2"/>
  <c r="I102" i="2"/>
  <c r="F7" i="2"/>
  <c r="H79" i="2"/>
  <c r="H24" i="2"/>
  <c r="H102" i="2"/>
  <c r="I100" i="1"/>
  <c r="I101" i="1"/>
  <c r="I102" i="1"/>
  <c r="D7" i="6" l="1"/>
  <c r="D5" i="6"/>
  <c r="F12" i="2"/>
  <c r="C56" i="2"/>
  <c r="J56" i="2" s="1"/>
  <c r="E12" i="2"/>
  <c r="J25" i="2" a="1"/>
  <c r="J24" i="2"/>
  <c r="C59" i="2" a="1"/>
  <c r="J79" i="2"/>
  <c r="C82" i="2" a="1"/>
  <c r="C33" i="2"/>
  <c r="D10" i="2"/>
  <c r="H33" i="2" s="1"/>
  <c r="D11" i="2"/>
  <c r="I33" i="2" s="1"/>
  <c r="D7" i="2"/>
  <c r="D9" i="2"/>
  <c r="G33" i="2" s="1"/>
  <c r="D8" i="2"/>
  <c r="F33" i="2" s="1"/>
  <c r="J102" i="2"/>
  <c r="C105" i="2" a="1"/>
  <c r="I194" i="2"/>
  <c r="I10" i="2"/>
  <c r="H194" i="2" s="1"/>
  <c r="I7" i="2"/>
  <c r="I6" i="2"/>
  <c r="I9" i="2"/>
  <c r="G194" i="2" s="1"/>
  <c r="I8" i="2"/>
  <c r="F194" i="2" s="1"/>
  <c r="H171" i="2"/>
  <c r="H7" i="2"/>
  <c r="H9" i="2"/>
  <c r="G171" i="2" s="1"/>
  <c r="H11" i="2"/>
  <c r="I171" i="2" s="1"/>
  <c r="H6" i="2"/>
  <c r="H8" i="2"/>
  <c r="F171" i="2" s="1"/>
  <c r="E125" i="2"/>
  <c r="D125" i="2"/>
  <c r="C128" i="2" s="1" a="1"/>
  <c r="D6" i="6"/>
  <c r="G148" i="2"/>
  <c r="G10" i="2"/>
  <c r="H148" i="2" s="1"/>
  <c r="G8" i="2"/>
  <c r="F148" i="2" s="1"/>
  <c r="G7" i="2"/>
  <c r="G11" i="2"/>
  <c r="I148" i="2" s="1"/>
  <c r="G6" i="2"/>
  <c r="I103" i="1"/>
  <c r="J125" i="2" l="1"/>
  <c r="D12" i="2"/>
  <c r="E128" i="2"/>
  <c r="D128" i="2"/>
  <c r="C128" i="2"/>
  <c r="E59" i="2"/>
  <c r="D59" i="2"/>
  <c r="C59" i="2"/>
  <c r="D148" i="2"/>
  <c r="E148" i="2"/>
  <c r="C194" i="2"/>
  <c r="I12" i="2"/>
  <c r="J25" i="2"/>
  <c r="J27" i="2"/>
  <c r="J26" i="2"/>
  <c r="C148" i="2"/>
  <c r="G12" i="2"/>
  <c r="C171" i="2"/>
  <c r="H12" i="2"/>
  <c r="E33" i="2"/>
  <c r="D33" i="2"/>
  <c r="D82" i="2"/>
  <c r="E82" i="2"/>
  <c r="C82" i="2"/>
  <c r="D194" i="2"/>
  <c r="E194" i="2"/>
  <c r="D171" i="2"/>
  <c r="E171" i="2"/>
  <c r="C105" i="2"/>
  <c r="E105" i="2"/>
  <c r="D105" i="2"/>
  <c r="C36" i="2" a="1"/>
  <c r="J33" i="2" l="1"/>
  <c r="C151" i="2" a="1"/>
  <c r="J148" i="2"/>
  <c r="J171" i="2"/>
  <c r="C174" i="2" a="1"/>
  <c r="J28" i="2"/>
  <c r="E36" i="2"/>
  <c r="D36" i="2"/>
  <c r="C36" i="2"/>
  <c r="C197" i="2" a="1"/>
  <c r="J194" i="2"/>
  <c r="C174" i="2" l="1"/>
  <c r="E174" i="2"/>
  <c r="D174" i="2"/>
  <c r="D197" i="2"/>
  <c r="E197" i="2"/>
  <c r="C197" i="2"/>
  <c r="C151" i="2"/>
  <c r="D151" i="2"/>
  <c r="E151" i="2"/>
</calcChain>
</file>

<file path=xl/sharedStrings.xml><?xml version="1.0" encoding="utf-8"?>
<sst xmlns="http://schemas.openxmlformats.org/spreadsheetml/2006/main" count="234" uniqueCount="61">
  <si>
    <t>Research</t>
  </si>
  <si>
    <t>Growth</t>
  </si>
  <si>
    <t>Benefits</t>
  </si>
  <si>
    <t>Colleagues</t>
  </si>
  <si>
    <t>Location</t>
  </si>
  <si>
    <t>Reputation</t>
  </si>
  <si>
    <t>Company A</t>
  </si>
  <si>
    <t>Company B</t>
  </si>
  <si>
    <t>Company C</t>
  </si>
  <si>
    <t>A</t>
  </si>
  <si>
    <t>B</t>
  </si>
  <si>
    <t>C</t>
  </si>
  <si>
    <t>Alternative</t>
  </si>
  <si>
    <t>chksum</t>
  </si>
  <si>
    <t>Pairwise Comparison of Alternatives w.r.t. Crterion Research</t>
  </si>
  <si>
    <t>w</t>
  </si>
  <si>
    <t>Short-term</t>
  </si>
  <si>
    <t>Long-term</t>
  </si>
  <si>
    <t>Short-Term</t>
  </si>
  <si>
    <t>Long-Term</t>
  </si>
  <si>
    <t>Sub-Criteria</t>
  </si>
  <si>
    <t>Pairwise Comparison of Alternatives w.r.t. Crterion Short-Term Growth</t>
  </si>
  <si>
    <t>Pairwise Comparison of Alternatives w.r.t. Crterion Long-Term Growth</t>
  </si>
  <si>
    <t>Chksum</t>
  </si>
  <si>
    <t>Main Criteria</t>
  </si>
  <si>
    <t>Main Criteria Weight</t>
  </si>
  <si>
    <t>Sub-Criteria Local Weight</t>
  </si>
  <si>
    <t>Leaf Criteria Global Weight</t>
  </si>
  <si>
    <t>Alternative Local Weights</t>
  </si>
  <si>
    <t>Short-term Growth</t>
  </si>
  <si>
    <t>Long-Term Growth</t>
  </si>
  <si>
    <t>Global Weight</t>
  </si>
  <si>
    <t>Rainbow Diagram for Criterion Research</t>
  </si>
  <si>
    <t>Rainbow Diagram for Criterion Growth</t>
  </si>
  <si>
    <t>Rainbow Diagram for Criterion Benefits</t>
  </si>
  <si>
    <t>Rainbow Diagram for Criterion Colleagues</t>
  </si>
  <si>
    <t>Pairwise Comparison of Sub Crieria of Growth</t>
  </si>
  <si>
    <t>Short-Term Growth</t>
  </si>
  <si>
    <t>ChkSum</t>
  </si>
  <si>
    <t>Long-term Growth</t>
  </si>
  <si>
    <t>Rainbow Diagram for Sub-Criterion Short-Term Growth</t>
  </si>
  <si>
    <t>Rainbow Diagram for Sub-Criterion Long-Term Growth</t>
  </si>
  <si>
    <t>Sub-Criteria of Growth</t>
  </si>
  <si>
    <t>Leaf weights</t>
  </si>
  <si>
    <t>Rainbow Diagram for Criterion Location</t>
  </si>
  <si>
    <t>Rainbow Diagram for Criterion Reputation</t>
  </si>
  <si>
    <t>Base Weight</t>
  </si>
  <si>
    <t>Alternative's local wegiht under this leaf criterion</t>
  </si>
  <si>
    <t>Criterion's weight when the weight of this main criterion is varied</t>
  </si>
  <si>
    <t>Criterion's weight when the weight of this sub-criterion is varied</t>
  </si>
  <si>
    <t>Summary of Results</t>
  </si>
  <si>
    <t>Alternative's Local Weights wrt Leaf Criteria</t>
  </si>
  <si>
    <t>l =</t>
  </si>
  <si>
    <t>CR =</t>
  </si>
  <si>
    <t xml:space="preserve">Job Selection Problem with Subcriteria </t>
  </si>
  <si>
    <t>Use UDF AHPmat_Algebra</t>
  </si>
  <si>
    <t>Pairwise Comparison of Alternatives w.r.t. Criterion Colleagues</t>
  </si>
  <si>
    <t>Pairwise Comparison of Alternatives w.r.t. Criterion Location</t>
  </si>
  <si>
    <t>Pairwise Comparison of Alternatives w.r.t. Criterion Reputation</t>
  </si>
  <si>
    <t>Pairwise Comparison of Alternatives w.r.t. Criterion Benefits</t>
  </si>
  <si>
    <t>Pairwise Comparison of Main Criteria w.r.t. Goal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</si>
</sst>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\ ???/???"/>
    <numFmt numFmtId="165" formatCode="0.0000"/>
    <numFmt numFmtId="166" formatCode="0.00000"/>
    <numFmt numFmtId="167" formatCode="0.0"/>
    <numFmt numFmtId="168" formatCode="0.000000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i/>
      <sz val="10"/>
      <color theme="1"/>
      <name val="Times New Roman"/>
      <family val="1"/>
    </font>
    <font>
      <b/>
      <sz val="8"/>
      <color theme="1"/>
      <name val="Arial"/>
      <family val="2"/>
    </font>
    <font>
      <sz val="10"/>
      <color theme="1"/>
      <name val="Calibri"/>
      <family val="2"/>
      <scheme val="minor"/>
    </font>
    <font>
      <sz val="9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Times New Roman"/>
      <family val="1"/>
    </font>
    <font>
      <b/>
      <sz val="14"/>
      <color theme="1"/>
      <name val="Arial"/>
      <family val="2"/>
    </font>
    <font>
      <sz val="14"/>
      <color theme="1"/>
      <name val="Calibri"/>
      <family val="2"/>
      <scheme val="minor"/>
    </font>
    <font>
      <sz val="8"/>
      <color theme="1"/>
      <name val="Times New Roman"/>
      <family val="1"/>
    </font>
    <font>
      <sz val="11"/>
      <color theme="1"/>
      <name val="Calibri"/>
      <family val="2"/>
      <scheme val="minor"/>
    </font>
    <font>
      <sz val="10"/>
      <name val="Symbol"/>
      <family val="1"/>
      <charset val="2"/>
    </font>
    <font>
      <sz val="9"/>
      <name val="Times New Roman"/>
      <family val="1"/>
    </font>
    <font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9" fontId="19" fillId="0" borderId="0" applyFont="0" applyFill="0" applyBorder="0" applyAlignment="0" applyProtection="0"/>
  </cellStyleXfs>
  <cellXfs count="13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left" vertical="center"/>
    </xf>
    <xf numFmtId="166" fontId="2" fillId="2" borderId="1" xfId="0" applyNumberFormat="1" applyFont="1" applyFill="1" applyBorder="1" applyAlignment="1">
      <alignment horizontal="center"/>
    </xf>
    <xf numFmtId="0" fontId="3" fillId="0" borderId="0" xfId="0" applyFont="1"/>
    <xf numFmtId="166" fontId="2" fillId="5" borderId="1" xfId="0" applyNumberFormat="1" applyFont="1" applyFill="1" applyBorder="1" applyAlignment="1">
      <alignment horizontal="center"/>
    </xf>
    <xf numFmtId="165" fontId="2" fillId="0" borderId="0" xfId="0" applyNumberFormat="1" applyFont="1" applyAlignment="1">
      <alignment horizontal="center"/>
    </xf>
    <xf numFmtId="167" fontId="2" fillId="0" borderId="0" xfId="0" applyNumberFormat="1" applyFont="1" applyBorder="1" applyAlignment="1">
      <alignment horizontal="center"/>
    </xf>
    <xf numFmtId="0" fontId="2" fillId="0" borderId="0" xfId="0" applyFont="1" applyBorder="1"/>
    <xf numFmtId="165" fontId="2" fillId="3" borderId="1" xfId="0" applyNumberFormat="1" applyFont="1" applyFill="1" applyBorder="1" applyAlignment="1">
      <alignment horizontal="center"/>
    </xf>
    <xf numFmtId="165" fontId="2" fillId="4" borderId="1" xfId="0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167" fontId="2" fillId="5" borderId="1" xfId="0" applyNumberFormat="1" applyFont="1" applyFill="1" applyBorder="1" applyAlignment="1">
      <alignment horizontal="center"/>
    </xf>
    <xf numFmtId="2" fontId="2" fillId="0" borderId="0" xfId="0" applyNumberFormat="1" applyFont="1" applyBorder="1" applyAlignment="1">
      <alignment horizontal="center"/>
    </xf>
    <xf numFmtId="166" fontId="2" fillId="3" borderId="2" xfId="0" applyNumberFormat="1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2" fillId="3" borderId="6" xfId="0" applyFont="1" applyFill="1" applyBorder="1"/>
    <xf numFmtId="2" fontId="5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66" fontId="2" fillId="0" borderId="0" xfId="0" applyNumberFormat="1" applyFont="1" applyBorder="1" applyAlignment="1">
      <alignment horizontal="center"/>
    </xf>
    <xf numFmtId="0" fontId="6" fillId="0" borderId="0" xfId="0" applyFont="1"/>
    <xf numFmtId="0" fontId="6" fillId="0" borderId="1" xfId="0" applyFont="1" applyBorder="1"/>
    <xf numFmtId="0" fontId="6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center"/>
    </xf>
    <xf numFmtId="165" fontId="6" fillId="0" borderId="0" xfId="0" applyNumberFormat="1" applyFont="1"/>
    <xf numFmtId="164" fontId="6" fillId="0" borderId="1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165" fontId="6" fillId="0" borderId="0" xfId="0" applyNumberFormat="1" applyFont="1" applyAlignment="1">
      <alignment horizontal="center"/>
    </xf>
    <xf numFmtId="0" fontId="7" fillId="6" borderId="0" xfId="0" applyFont="1" applyFill="1"/>
    <xf numFmtId="0" fontId="6" fillId="6" borderId="0" xfId="0" applyFont="1" applyFill="1"/>
    <xf numFmtId="0" fontId="6" fillId="0" borderId="0" xfId="0" applyFont="1" applyBorder="1" applyAlignment="1">
      <alignment horizontal="left" vertical="center"/>
    </xf>
    <xf numFmtId="0" fontId="6" fillId="0" borderId="0" xfId="0" applyFont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164" fontId="6" fillId="3" borderId="1" xfId="0" applyNumberFormat="1" applyFont="1" applyFill="1" applyBorder="1" applyAlignment="1">
      <alignment horizontal="center" vertical="center"/>
    </xf>
    <xf numFmtId="0" fontId="1" fillId="6" borderId="0" xfId="0" applyFont="1" applyFill="1"/>
    <xf numFmtId="0" fontId="6" fillId="0" borderId="0" xfId="0" applyFont="1" applyAlignment="1">
      <alignment horizontal="center" vertical="center"/>
    </xf>
    <xf numFmtId="165" fontId="6" fillId="0" borderId="0" xfId="0" applyNumberFormat="1" applyFont="1" applyBorder="1" applyAlignment="1">
      <alignment horizontal="center"/>
    </xf>
    <xf numFmtId="166" fontId="6" fillId="4" borderId="1" xfId="0" applyNumberFormat="1" applyFont="1" applyFill="1" applyBorder="1" applyAlignment="1">
      <alignment horizontal="center"/>
    </xf>
    <xf numFmtId="0" fontId="6" fillId="4" borderId="1" xfId="0" applyFont="1" applyFill="1" applyBorder="1"/>
    <xf numFmtId="168" fontId="6" fillId="4" borderId="1" xfId="0" applyNumberFormat="1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2" fontId="5" fillId="0" borderId="0" xfId="0" applyNumberFormat="1" applyFont="1" applyBorder="1" applyAlignment="1">
      <alignment horizontal="center"/>
    </xf>
    <xf numFmtId="0" fontId="6" fillId="4" borderId="1" xfId="0" applyFont="1" applyFill="1" applyBorder="1" applyAlignment="1">
      <alignment horizontal="left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/>
    </xf>
    <xf numFmtId="0" fontId="7" fillId="5" borderId="1" xfId="0" applyFont="1" applyFill="1" applyBorder="1" applyAlignment="1"/>
    <xf numFmtId="166" fontId="6" fillId="0" borderId="1" xfId="0" applyNumberFormat="1" applyFont="1" applyBorder="1" applyAlignment="1">
      <alignment horizontal="center"/>
    </xf>
    <xf numFmtId="166" fontId="6" fillId="0" borderId="0" xfId="0" applyNumberFormat="1" applyFont="1" applyAlignment="1">
      <alignment horizontal="center"/>
    </xf>
    <xf numFmtId="168" fontId="6" fillId="0" borderId="0" xfId="0" applyNumberFormat="1" applyFont="1" applyAlignment="1">
      <alignment horizontal="center"/>
    </xf>
    <xf numFmtId="0" fontId="10" fillId="0" borderId="0" xfId="0" applyFont="1"/>
    <xf numFmtId="0" fontId="0" fillId="4" borderId="1" xfId="0" applyFill="1" applyBorder="1" applyAlignment="1">
      <alignment horizontal="center"/>
    </xf>
    <xf numFmtId="1" fontId="6" fillId="4" borderId="1" xfId="0" applyNumberFormat="1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 vertical="center" wrapText="1"/>
    </xf>
    <xf numFmtId="0" fontId="9" fillId="3" borderId="2" xfId="0" applyFont="1" applyFill="1" applyBorder="1" applyAlignment="1">
      <alignment horizontal="center" vertical="center" wrapText="1"/>
    </xf>
    <xf numFmtId="0" fontId="5" fillId="6" borderId="5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2" fontId="5" fillId="4" borderId="2" xfId="0" applyNumberFormat="1" applyFont="1" applyFill="1" applyBorder="1" applyAlignment="1">
      <alignment horizontal="center"/>
    </xf>
    <xf numFmtId="168" fontId="5" fillId="9" borderId="8" xfId="0" applyNumberFormat="1" applyFont="1" applyFill="1" applyBorder="1" applyAlignment="1">
      <alignment horizontal="center" vertical="center" wrapText="1"/>
    </xf>
    <xf numFmtId="168" fontId="5" fillId="9" borderId="2" xfId="0" applyNumberFormat="1" applyFont="1" applyFill="1" applyBorder="1" applyAlignment="1">
      <alignment horizontal="center" vertical="center" wrapText="1"/>
    </xf>
    <xf numFmtId="168" fontId="5" fillId="9" borderId="9" xfId="0" applyNumberFormat="1" applyFont="1" applyFill="1" applyBorder="1" applyAlignment="1">
      <alignment horizontal="center" vertical="center" wrapText="1"/>
    </xf>
    <xf numFmtId="0" fontId="2" fillId="9" borderId="4" xfId="0" applyFont="1" applyFill="1" applyBorder="1"/>
    <xf numFmtId="0" fontId="2" fillId="9" borderId="5" xfId="0" applyFont="1" applyFill="1" applyBorder="1"/>
    <xf numFmtId="0" fontId="8" fillId="6" borderId="1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 wrapText="1"/>
    </xf>
    <xf numFmtId="0" fontId="11" fillId="4" borderId="5" xfId="0" applyFont="1" applyFill="1" applyBorder="1" applyAlignment="1">
      <alignment horizontal="center" vertical="center" wrapText="1"/>
    </xf>
    <xf numFmtId="0" fontId="6" fillId="4" borderId="2" xfId="0" applyFont="1" applyFill="1" applyBorder="1"/>
    <xf numFmtId="168" fontId="2" fillId="5" borderId="1" xfId="0" applyNumberFormat="1" applyFont="1" applyFill="1" applyBorder="1" applyAlignment="1">
      <alignment horizontal="center"/>
    </xf>
    <xf numFmtId="0" fontId="6" fillId="4" borderId="6" xfId="0" applyFont="1" applyFill="1" applyBorder="1"/>
    <xf numFmtId="2" fontId="6" fillId="4" borderId="1" xfId="0" applyNumberFormat="1" applyFont="1" applyFill="1" applyBorder="1" applyAlignment="1">
      <alignment horizontal="center"/>
    </xf>
    <xf numFmtId="0" fontId="7" fillId="9" borderId="1" xfId="0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left" vertical="center"/>
    </xf>
    <xf numFmtId="166" fontId="6" fillId="9" borderId="1" xfId="0" applyNumberFormat="1" applyFont="1" applyFill="1" applyBorder="1" applyAlignment="1">
      <alignment horizontal="center"/>
    </xf>
    <xf numFmtId="0" fontId="6" fillId="4" borderId="1" xfId="0" applyFont="1" applyFill="1" applyBorder="1" applyAlignment="1">
      <alignment wrapText="1"/>
    </xf>
    <xf numFmtId="166" fontId="2" fillId="3" borderId="1" xfId="0" applyNumberFormat="1" applyFont="1" applyFill="1" applyBorder="1" applyAlignment="1">
      <alignment horizontal="center"/>
    </xf>
    <xf numFmtId="2" fontId="2" fillId="4" borderId="1" xfId="0" applyNumberFormat="1" applyFont="1" applyFill="1" applyBorder="1" applyAlignment="1">
      <alignment horizontal="center" vertical="center" wrapText="1"/>
    </xf>
    <xf numFmtId="0" fontId="2" fillId="4" borderId="1" xfId="0" applyFont="1" applyFill="1" applyBorder="1"/>
    <xf numFmtId="0" fontId="5" fillId="4" borderId="2" xfId="0" applyFont="1" applyFill="1" applyBorder="1" applyAlignment="1">
      <alignment horizontal="left"/>
    </xf>
    <xf numFmtId="0" fontId="5" fillId="4" borderId="1" xfId="0" applyFont="1" applyFill="1" applyBorder="1" applyAlignment="1">
      <alignment horizontal="left"/>
    </xf>
    <xf numFmtId="0" fontId="5" fillId="4" borderId="5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13" fillId="9" borderId="3" xfId="0" applyFont="1" applyFill="1" applyBorder="1"/>
    <xf numFmtId="0" fontId="14" fillId="9" borderId="4" xfId="0" applyFont="1" applyFill="1" applyBorder="1"/>
    <xf numFmtId="0" fontId="14" fillId="9" borderId="5" xfId="0" applyFont="1" applyFill="1" applyBorder="1"/>
    <xf numFmtId="0" fontId="9" fillId="4" borderId="2" xfId="0" applyFont="1" applyFill="1" applyBorder="1" applyAlignment="1">
      <alignment horizontal="center" wrapText="1"/>
    </xf>
    <xf numFmtId="0" fontId="2" fillId="4" borderId="5" xfId="0" applyFont="1" applyFill="1" applyBorder="1" applyAlignment="1">
      <alignment horizontal="center"/>
    </xf>
    <xf numFmtId="165" fontId="2" fillId="4" borderId="5" xfId="0" applyNumberFormat="1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168" fontId="6" fillId="10" borderId="1" xfId="0" applyNumberFormat="1" applyFont="1" applyFill="1" applyBorder="1" applyAlignment="1">
      <alignment horizontal="center"/>
    </xf>
    <xf numFmtId="168" fontId="6" fillId="9" borderId="1" xfId="0" applyNumberFormat="1" applyFont="1" applyFill="1" applyBorder="1" applyAlignment="1">
      <alignment horizontal="center"/>
    </xf>
    <xf numFmtId="0" fontId="5" fillId="6" borderId="2" xfId="0" applyFont="1" applyFill="1" applyBorder="1" applyAlignment="1">
      <alignment horizontal="center" vertical="center"/>
    </xf>
    <xf numFmtId="166" fontId="2" fillId="5" borderId="2" xfId="0" applyNumberFormat="1" applyFont="1" applyFill="1" applyBorder="1" applyAlignment="1">
      <alignment horizontal="center" vertical="center"/>
    </xf>
    <xf numFmtId="166" fontId="3" fillId="7" borderId="2" xfId="0" applyNumberFormat="1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166" fontId="3" fillId="7" borderId="1" xfId="0" applyNumberFormat="1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 wrapText="1"/>
    </xf>
    <xf numFmtId="0" fontId="15" fillId="4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166" fontId="12" fillId="9" borderId="1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right"/>
    </xf>
    <xf numFmtId="165" fontId="10" fillId="0" borderId="1" xfId="0" applyNumberFormat="1" applyFont="1" applyFill="1" applyBorder="1" applyAlignment="1">
      <alignment horizontal="center"/>
    </xf>
    <xf numFmtId="0" fontId="10" fillId="4" borderId="1" xfId="0" applyFont="1" applyFill="1" applyBorder="1" applyAlignment="1">
      <alignment horizontal="center"/>
    </xf>
    <xf numFmtId="165" fontId="6" fillId="0" borderId="0" xfId="0" applyNumberFormat="1" applyFont="1" applyBorder="1" applyAlignment="1">
      <alignment horizontal="left"/>
    </xf>
    <xf numFmtId="2" fontId="18" fillId="0" borderId="1" xfId="0" applyNumberFormat="1" applyFont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3" fillId="6" borderId="0" xfId="0" applyFont="1" applyFill="1"/>
    <xf numFmtId="0" fontId="2" fillId="6" borderId="0" xfId="0" applyFont="1" applyFill="1"/>
    <xf numFmtId="0" fontId="13" fillId="6" borderId="0" xfId="0" applyFont="1" applyFill="1" applyBorder="1"/>
    <xf numFmtId="0" fontId="20" fillId="0" borderId="1" xfId="0" applyFont="1" applyFill="1" applyBorder="1" applyAlignment="1">
      <alignment horizontal="right"/>
    </xf>
    <xf numFmtId="0" fontId="21" fillId="0" borderId="1" xfId="0" applyFont="1" applyFill="1" applyBorder="1" applyAlignment="1">
      <alignment horizontal="right"/>
    </xf>
    <xf numFmtId="1" fontId="6" fillId="0" borderId="0" xfId="1" applyNumberFormat="1" applyFont="1"/>
    <xf numFmtId="168" fontId="6" fillId="6" borderId="5" xfId="0" applyNumberFormat="1" applyFont="1" applyFill="1" applyBorder="1" applyAlignment="1">
      <alignment horizontal="center"/>
    </xf>
    <xf numFmtId="168" fontId="6" fillId="6" borderId="1" xfId="0" applyNumberFormat="1" applyFont="1" applyFill="1" applyBorder="1" applyAlignment="1">
      <alignment horizontal="center"/>
    </xf>
    <xf numFmtId="168" fontId="6" fillId="5" borderId="1" xfId="0" applyNumberFormat="1" applyFont="1" applyFill="1" applyBorder="1" applyAlignment="1">
      <alignment horizontal="center"/>
    </xf>
    <xf numFmtId="168" fontId="6" fillId="8" borderId="1" xfId="0" applyNumberFormat="1" applyFont="1" applyFill="1" applyBorder="1" applyAlignment="1">
      <alignment horizontal="center"/>
    </xf>
    <xf numFmtId="168" fontId="6" fillId="0" borderId="1" xfId="0" applyNumberFormat="1" applyFont="1" applyBorder="1"/>
    <xf numFmtId="168" fontId="6" fillId="0" borderId="1" xfId="0" applyNumberFormat="1" applyFont="1" applyBorder="1" applyAlignment="1">
      <alignment horizontal="center"/>
    </xf>
    <xf numFmtId="0" fontId="2" fillId="4" borderId="5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 vertical="center" wrapText="1"/>
    </xf>
    <xf numFmtId="0" fontId="13" fillId="6" borderId="0" xfId="0" applyFont="1" applyFill="1" applyAlignment="1">
      <alignment vertical="center"/>
    </xf>
    <xf numFmtId="0" fontId="22" fillId="6" borderId="0" xfId="0" applyFont="1" applyFill="1"/>
    <xf numFmtId="0" fontId="17" fillId="6" borderId="0" xfId="0" applyFont="1" applyFill="1"/>
    <xf numFmtId="0" fontId="10" fillId="6" borderId="0" xfId="0" applyFont="1" applyFill="1"/>
    <xf numFmtId="0" fontId="0" fillId="6" borderId="0" xfId="0" applyFill="1"/>
    <xf numFmtId="0" fontId="3" fillId="6" borderId="0" xfId="0" applyFont="1" applyFill="1"/>
    <xf numFmtId="0" fontId="16" fillId="6" borderId="0" xfId="0" applyFont="1" applyFill="1"/>
    <xf numFmtId="0" fontId="3" fillId="6" borderId="0" xfId="0" applyFont="1" applyFill="1" applyAlignment="1">
      <alignment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Company 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Analysis'!$B$37:$B$47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Analysis'!$C$37:$C$47</c:f>
              <c:numCache>
                <c:formatCode>0.0000</c:formatCode>
                <c:ptCount val="11"/>
                <c:pt idx="0">
                  <c:v>0.51164341937862345</c:v>
                </c:pt>
                <c:pt idx="1">
                  <c:v>0.47412905773964614</c:v>
                </c:pt>
                <c:pt idx="2">
                  <c:v>0.43661469610066889</c:v>
                </c:pt>
                <c:pt idx="3">
                  <c:v>0.39910033446169157</c:v>
                </c:pt>
                <c:pt idx="4">
                  <c:v>0.36158597282271421</c:v>
                </c:pt>
                <c:pt idx="5">
                  <c:v>0.3240716111837369</c:v>
                </c:pt>
                <c:pt idx="6">
                  <c:v>0.28655724954475958</c:v>
                </c:pt>
                <c:pt idx="7">
                  <c:v>0.2490428879057823</c:v>
                </c:pt>
                <c:pt idx="8">
                  <c:v>0.21152852626680491</c:v>
                </c:pt>
                <c:pt idx="9">
                  <c:v>0.17401416462782768</c:v>
                </c:pt>
                <c:pt idx="10">
                  <c:v>0.13649980298885034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59-4672-B8BD-E091BC83C791}"/>
            </c:ext>
          </c:extLst>
        </c:ser>
        <c:ser>
          <c:idx val="1"/>
          <c:order val="1"/>
          <c:tx>
            <c:v>Company 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Analysis'!$B$37:$B$47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Analysis'!$D$37:$D$47</c:f>
              <c:numCache>
                <c:formatCode>0.0000</c:formatCode>
                <c:ptCount val="11"/>
                <c:pt idx="0">
                  <c:v>0.2335181679328048</c:v>
                </c:pt>
                <c:pt idx="1">
                  <c:v>0.27266765857435016</c:v>
                </c:pt>
                <c:pt idx="2">
                  <c:v>0.31181714921589548</c:v>
                </c:pt>
                <c:pt idx="3">
                  <c:v>0.35096663985744081</c:v>
                </c:pt>
                <c:pt idx="4">
                  <c:v>0.39011613049898614</c:v>
                </c:pt>
                <c:pt idx="5">
                  <c:v>0.42926562114053146</c:v>
                </c:pt>
                <c:pt idx="6">
                  <c:v>0.46841511178207673</c:v>
                </c:pt>
                <c:pt idx="7">
                  <c:v>0.507564602423622</c:v>
                </c:pt>
                <c:pt idx="8">
                  <c:v>0.54671409306516749</c:v>
                </c:pt>
                <c:pt idx="9">
                  <c:v>0.58586358370671276</c:v>
                </c:pt>
                <c:pt idx="10">
                  <c:v>0.62501307434825804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59-4672-B8BD-E091BC83C791}"/>
            </c:ext>
          </c:extLst>
        </c:ser>
        <c:ser>
          <c:idx val="2"/>
          <c:order val="2"/>
          <c:tx>
            <c:v>Company 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Analysis'!$B$37:$B$47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Analysis'!$E$37:$E$47</c:f>
              <c:numCache>
                <c:formatCode>0.0000</c:formatCode>
                <c:ptCount val="11"/>
                <c:pt idx="0">
                  <c:v>0.25483841268857182</c:v>
                </c:pt>
                <c:pt idx="1">
                  <c:v>0.25320328368600381</c:v>
                </c:pt>
                <c:pt idx="2">
                  <c:v>0.2515681546834358</c:v>
                </c:pt>
                <c:pt idx="3">
                  <c:v>0.24993302568086773</c:v>
                </c:pt>
                <c:pt idx="4">
                  <c:v>0.24829789667829971</c:v>
                </c:pt>
                <c:pt idx="5">
                  <c:v>0.2466627676757317</c:v>
                </c:pt>
                <c:pt idx="6">
                  <c:v>0.24502763867316368</c:v>
                </c:pt>
                <c:pt idx="7">
                  <c:v>0.24339250967059567</c:v>
                </c:pt>
                <c:pt idx="8">
                  <c:v>0.2417573806680276</c:v>
                </c:pt>
                <c:pt idx="9">
                  <c:v>0.24012225166545956</c:v>
                </c:pt>
                <c:pt idx="10">
                  <c:v>0.23848712266289157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159-4672-B8BD-E091BC83C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154824"/>
        <c:axId val="387157448"/>
      </c:scatterChart>
      <c:valAx>
        <c:axId val="3871548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Weight</a:t>
                </a:r>
                <a:r>
                  <a:rPr lang="en-US" baseline="0"/>
                  <a:t> of Criterion Research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7448"/>
        <c:crosses val="autoZero"/>
        <c:crossBetween val="midCat"/>
        <c:majorUnit val="0.1"/>
        <c:minorUnit val="5.000000000000001E-2"/>
      </c:valAx>
      <c:valAx>
        <c:axId val="3871574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4824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Company 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Analysis'!$B$60:$B$70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Analysis'!$C$60:$C$70</c:f>
              <c:numCache>
                <c:formatCode>0.0000</c:formatCode>
                <c:ptCount val="11"/>
                <c:pt idx="0">
                  <c:v>0.43914231816284133</c:v>
                </c:pt>
                <c:pt idx="1">
                  <c:v>0.44605141760396694</c:v>
                </c:pt>
                <c:pt idx="2">
                  <c:v>0.4529605170450926</c:v>
                </c:pt>
                <c:pt idx="3">
                  <c:v>0.45986961648621805</c:v>
                </c:pt>
                <c:pt idx="4">
                  <c:v>0.46677871592734377</c:v>
                </c:pt>
                <c:pt idx="5">
                  <c:v>0.47368781536846938</c:v>
                </c:pt>
                <c:pt idx="6">
                  <c:v>0.4805969148095951</c:v>
                </c:pt>
                <c:pt idx="7">
                  <c:v>0.48750601425072065</c:v>
                </c:pt>
                <c:pt idx="8">
                  <c:v>0.49441511369184626</c:v>
                </c:pt>
                <c:pt idx="9">
                  <c:v>0.50132421313297193</c:v>
                </c:pt>
                <c:pt idx="10">
                  <c:v>0.50823331257409754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7B-4521-BFF5-3109AFFDFC1E}"/>
            </c:ext>
          </c:extLst>
        </c:ser>
        <c:ser>
          <c:idx val="1"/>
          <c:order val="1"/>
          <c:tx>
            <c:v>Company 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Analysis'!$B$60:$B$70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Analysis'!$D$60:$D$70</c:f>
              <c:numCache>
                <c:formatCode>0.0000</c:formatCode>
                <c:ptCount val="11"/>
                <c:pt idx="0">
                  <c:v>0.3101549617765173</c:v>
                </c:pt>
                <c:pt idx="1">
                  <c:v>0.30242919819681691</c:v>
                </c:pt>
                <c:pt idx="2">
                  <c:v>0.29470343461711651</c:v>
                </c:pt>
                <c:pt idx="3">
                  <c:v>0.28697767103741612</c:v>
                </c:pt>
                <c:pt idx="4">
                  <c:v>0.27925190745771572</c:v>
                </c:pt>
                <c:pt idx="5">
                  <c:v>0.27152614387801532</c:v>
                </c:pt>
                <c:pt idx="6">
                  <c:v>0.26380038029831487</c:v>
                </c:pt>
                <c:pt idx="7">
                  <c:v>0.25607461671861448</c:v>
                </c:pt>
                <c:pt idx="8">
                  <c:v>0.24834885313891397</c:v>
                </c:pt>
                <c:pt idx="9">
                  <c:v>0.24062308955921358</c:v>
                </c:pt>
                <c:pt idx="10">
                  <c:v>0.23289732597951321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7B-4521-BFF5-3109AFFDFC1E}"/>
            </c:ext>
          </c:extLst>
        </c:ser>
        <c:ser>
          <c:idx val="2"/>
          <c:order val="2"/>
          <c:tx>
            <c:v>Company 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Analysis'!$B$60:$B$70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Analysis'!$E$60:$E$70</c:f>
              <c:numCache>
                <c:formatCode>0.0000</c:formatCode>
                <c:ptCount val="11"/>
                <c:pt idx="0">
                  <c:v>0.25070272006064137</c:v>
                </c:pt>
                <c:pt idx="1">
                  <c:v>0.25151938419921621</c:v>
                </c:pt>
                <c:pt idx="2">
                  <c:v>0.252336048337791</c:v>
                </c:pt>
                <c:pt idx="3">
                  <c:v>0.25315271247636573</c:v>
                </c:pt>
                <c:pt idx="4">
                  <c:v>0.25396937661494051</c:v>
                </c:pt>
                <c:pt idx="5">
                  <c:v>0.2547860407535153</c:v>
                </c:pt>
                <c:pt idx="6">
                  <c:v>0.25560270489209014</c:v>
                </c:pt>
                <c:pt idx="7">
                  <c:v>0.25641936903066492</c:v>
                </c:pt>
                <c:pt idx="8">
                  <c:v>0.25723603316923971</c:v>
                </c:pt>
                <c:pt idx="9">
                  <c:v>0.25805269730781449</c:v>
                </c:pt>
                <c:pt idx="10">
                  <c:v>0.25886936144638928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E7B-4521-BFF5-3109AFFDFC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154824"/>
        <c:axId val="387157448"/>
      </c:scatterChart>
      <c:valAx>
        <c:axId val="3871548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Weight of Criterion Growth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7448"/>
        <c:crosses val="autoZero"/>
        <c:crossBetween val="midCat"/>
        <c:majorUnit val="0.1"/>
        <c:minorUnit val="5.000000000000001E-2"/>
      </c:valAx>
      <c:valAx>
        <c:axId val="38715744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4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Company 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Analysis'!$B$129:$B$139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Analysis'!$C$129:$C$139</c:f>
              <c:numCache>
                <c:formatCode>0.0000</c:formatCode>
                <c:ptCount val="11"/>
                <c:pt idx="0">
                  <c:v>0.50395860183821073</c:v>
                </c:pt>
                <c:pt idx="1">
                  <c:v>0.47782643382746165</c:v>
                </c:pt>
                <c:pt idx="2">
                  <c:v>0.45169426581671268</c:v>
                </c:pt>
                <c:pt idx="3">
                  <c:v>0.4255620978059636</c:v>
                </c:pt>
                <c:pt idx="4">
                  <c:v>0.39942992979521463</c:v>
                </c:pt>
                <c:pt idx="5">
                  <c:v>0.37329776178446561</c:v>
                </c:pt>
                <c:pt idx="6">
                  <c:v>0.34716559377371659</c:v>
                </c:pt>
                <c:pt idx="7">
                  <c:v>0.32103342576296756</c:v>
                </c:pt>
                <c:pt idx="8">
                  <c:v>0.29490125775221859</c:v>
                </c:pt>
                <c:pt idx="9">
                  <c:v>0.26876908974146957</c:v>
                </c:pt>
                <c:pt idx="10">
                  <c:v>0.24263692173072057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C2-4494-8E1B-E73C8131E430}"/>
            </c:ext>
          </c:extLst>
        </c:ser>
        <c:ser>
          <c:idx val="1"/>
          <c:order val="1"/>
          <c:tx>
            <c:v>Company 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Analysis'!$B$129:$B$139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Analysis'!$D$129:$D$139</c:f>
              <c:numCache>
                <c:formatCode>0.0000</c:formatCode>
                <c:ptCount val="11"/>
                <c:pt idx="0">
                  <c:v>0.34678321045788896</c:v>
                </c:pt>
                <c:pt idx="1">
                  <c:v>0.32089951029396446</c:v>
                </c:pt>
                <c:pt idx="2">
                  <c:v>0.29501581013003997</c:v>
                </c:pt>
                <c:pt idx="3">
                  <c:v>0.26913210996611547</c:v>
                </c:pt>
                <c:pt idx="4">
                  <c:v>0.24324840980219101</c:v>
                </c:pt>
                <c:pt idx="5">
                  <c:v>0.21736470963826654</c:v>
                </c:pt>
                <c:pt idx="6">
                  <c:v>0.19148100947434207</c:v>
                </c:pt>
                <c:pt idx="7">
                  <c:v>0.16559730931041761</c:v>
                </c:pt>
                <c:pt idx="8">
                  <c:v>0.13971360914649311</c:v>
                </c:pt>
                <c:pt idx="9">
                  <c:v>0.11382990898256862</c:v>
                </c:pt>
                <c:pt idx="10">
                  <c:v>8.7946208818644164E-2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C2-4494-8E1B-E73C8131E430}"/>
            </c:ext>
          </c:extLst>
        </c:ser>
        <c:ser>
          <c:idx val="2"/>
          <c:order val="2"/>
          <c:tx>
            <c:v>Company 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Analysis'!$B$129:$B$139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Analysis'!$E$129:$E$139</c:f>
              <c:numCache>
                <c:formatCode>0.0000</c:formatCode>
                <c:ptCount val="11"/>
                <c:pt idx="0">
                  <c:v>0.14925818770390048</c:v>
                </c:pt>
                <c:pt idx="1">
                  <c:v>0.20127405587857392</c:v>
                </c:pt>
                <c:pt idx="2">
                  <c:v>0.25328992405324741</c:v>
                </c:pt>
                <c:pt idx="3">
                  <c:v>0.30530579222792087</c:v>
                </c:pt>
                <c:pt idx="4">
                  <c:v>0.35732166040259433</c:v>
                </c:pt>
                <c:pt idx="5">
                  <c:v>0.40933752857726785</c:v>
                </c:pt>
                <c:pt idx="6">
                  <c:v>0.46135339675194137</c:v>
                </c:pt>
                <c:pt idx="7">
                  <c:v>0.51336926492661483</c:v>
                </c:pt>
                <c:pt idx="8">
                  <c:v>0.56538513310128835</c:v>
                </c:pt>
                <c:pt idx="9">
                  <c:v>0.61740100127596176</c:v>
                </c:pt>
                <c:pt idx="10">
                  <c:v>0.66941686945063528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BC2-4494-8E1B-E73C8131E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154824"/>
        <c:axId val="387157448"/>
      </c:scatterChart>
      <c:valAx>
        <c:axId val="3871548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Weight of Criterion Benefits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7448"/>
        <c:crosses val="autoZero"/>
        <c:crossBetween val="midCat"/>
        <c:majorUnit val="0.1"/>
        <c:minorUnit val="5.000000000000001E-2"/>
      </c:valAx>
      <c:valAx>
        <c:axId val="3871574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4824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Company 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Analysis'!$B$152:$B$162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Analysis'!$C$152:$C$162</c:f>
              <c:numCache>
                <c:formatCode>0.0000</c:formatCode>
                <c:ptCount val="11"/>
                <c:pt idx="0">
                  <c:v>0.46101290787462834</c:v>
                </c:pt>
                <c:pt idx="1">
                  <c:v>0.44280707363581495</c:v>
                </c:pt>
                <c:pt idx="2">
                  <c:v>0.42460123939700156</c:v>
                </c:pt>
                <c:pt idx="3">
                  <c:v>0.40639540515818817</c:v>
                </c:pt>
                <c:pt idx="4">
                  <c:v>0.38818957091937478</c:v>
                </c:pt>
                <c:pt idx="5">
                  <c:v>0.36998373668056145</c:v>
                </c:pt>
                <c:pt idx="6">
                  <c:v>0.35177790244174806</c:v>
                </c:pt>
                <c:pt idx="7">
                  <c:v>0.33357206820293467</c:v>
                </c:pt>
                <c:pt idx="8">
                  <c:v>0.31536623396412128</c:v>
                </c:pt>
                <c:pt idx="9">
                  <c:v>0.29716039972530783</c:v>
                </c:pt>
                <c:pt idx="10">
                  <c:v>0.2789545654864945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E3-4FB7-8D99-8B0875F5CC90}"/>
            </c:ext>
          </c:extLst>
        </c:ser>
        <c:ser>
          <c:idx val="1"/>
          <c:order val="1"/>
          <c:tx>
            <c:v>Company 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Analysis'!$B$152:$B$162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Analysis'!$D$152:$D$162</c:f>
              <c:numCache>
                <c:formatCode>0.0000</c:formatCode>
                <c:ptCount val="11"/>
                <c:pt idx="0">
                  <c:v>0.27758527643198738</c:v>
                </c:pt>
                <c:pt idx="1">
                  <c:v>0.31473854925186839</c:v>
                </c:pt>
                <c:pt idx="2">
                  <c:v>0.35189182207174935</c:v>
                </c:pt>
                <c:pt idx="3">
                  <c:v>0.38904509489163031</c:v>
                </c:pt>
                <c:pt idx="4">
                  <c:v>0.42619836771151132</c:v>
                </c:pt>
                <c:pt idx="5">
                  <c:v>0.46335164053139227</c:v>
                </c:pt>
                <c:pt idx="6">
                  <c:v>0.50050491335127323</c:v>
                </c:pt>
                <c:pt idx="7">
                  <c:v>0.53765818617115424</c:v>
                </c:pt>
                <c:pt idx="8">
                  <c:v>0.57481145899103525</c:v>
                </c:pt>
                <c:pt idx="9">
                  <c:v>0.61196473181091626</c:v>
                </c:pt>
                <c:pt idx="10">
                  <c:v>0.64911800463079716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E3-4FB7-8D99-8B0875F5CC90}"/>
            </c:ext>
          </c:extLst>
        </c:ser>
        <c:ser>
          <c:idx val="2"/>
          <c:order val="2"/>
          <c:tx>
            <c:v>Company 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Analysis'!$B$152:$B$162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Analysis'!$E$152:$E$162</c:f>
              <c:numCache>
                <c:formatCode>0.0000</c:formatCode>
                <c:ptCount val="11"/>
                <c:pt idx="0">
                  <c:v>0.26140181569338433</c:v>
                </c:pt>
                <c:pt idx="1">
                  <c:v>0.24245437711231674</c:v>
                </c:pt>
                <c:pt idx="2">
                  <c:v>0.22350693853124914</c:v>
                </c:pt>
                <c:pt idx="3">
                  <c:v>0.20455949995018152</c:v>
                </c:pt>
                <c:pt idx="4">
                  <c:v>0.18561206136911393</c:v>
                </c:pt>
                <c:pt idx="5">
                  <c:v>0.16666462278804633</c:v>
                </c:pt>
                <c:pt idx="6">
                  <c:v>0.1477171842069788</c:v>
                </c:pt>
                <c:pt idx="7">
                  <c:v>0.12876974562591115</c:v>
                </c:pt>
                <c:pt idx="8">
                  <c:v>0.10982230704484355</c:v>
                </c:pt>
                <c:pt idx="9">
                  <c:v>9.087486846377596E-2</c:v>
                </c:pt>
                <c:pt idx="10">
                  <c:v>7.1927429882708352E-2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EE3-4FB7-8D99-8B0875F5CC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154824"/>
        <c:axId val="387157448"/>
      </c:scatterChart>
      <c:valAx>
        <c:axId val="3871548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Weight of Criterion Colleagues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7448"/>
        <c:crosses val="autoZero"/>
        <c:crossBetween val="midCat"/>
        <c:majorUnit val="0.1"/>
        <c:minorUnit val="5.000000000000001E-2"/>
      </c:valAx>
      <c:valAx>
        <c:axId val="3871574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4824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Company 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Analysis'!$B$175:$B$185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Analysis'!$C$175:$C$185</c:f>
              <c:numCache>
                <c:formatCode>0.0000</c:formatCode>
                <c:ptCount val="11"/>
                <c:pt idx="0">
                  <c:v>0.44966286841073988</c:v>
                </c:pt>
                <c:pt idx="1">
                  <c:v>0.45136324823630991</c:v>
                </c:pt>
                <c:pt idx="2">
                  <c:v>0.45306362806187994</c:v>
                </c:pt>
                <c:pt idx="3">
                  <c:v>0.45476400788744997</c:v>
                </c:pt>
                <c:pt idx="4">
                  <c:v>0.45646438771302006</c:v>
                </c:pt>
                <c:pt idx="5">
                  <c:v>0.45816476753859009</c:v>
                </c:pt>
                <c:pt idx="6">
                  <c:v>0.45986514736416012</c:v>
                </c:pt>
                <c:pt idx="7">
                  <c:v>0.46156552718973021</c:v>
                </c:pt>
                <c:pt idx="8">
                  <c:v>0.46326590701530024</c:v>
                </c:pt>
                <c:pt idx="9">
                  <c:v>0.46496628684087027</c:v>
                </c:pt>
                <c:pt idx="10">
                  <c:v>0.4666666666664403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5C-4601-953A-D7475AEB2987}"/>
            </c:ext>
          </c:extLst>
        </c:ser>
        <c:ser>
          <c:idx val="1"/>
          <c:order val="1"/>
          <c:tx>
            <c:v>Company 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Analysis'!$B$175:$B$185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Analysis'!$D$175:$D$185</c:f>
              <c:numCache>
                <c:formatCode>0.0000</c:formatCode>
                <c:ptCount val="11"/>
                <c:pt idx="0">
                  <c:v>0.26527634301102715</c:v>
                </c:pt>
                <c:pt idx="1">
                  <c:v>0.28541537537656847</c:v>
                </c:pt>
                <c:pt idx="2">
                  <c:v>0.30555440774210985</c:v>
                </c:pt>
                <c:pt idx="3">
                  <c:v>0.32569344010765111</c:v>
                </c:pt>
                <c:pt idx="4">
                  <c:v>0.34583247247319243</c:v>
                </c:pt>
                <c:pt idx="5">
                  <c:v>0.36597150483873375</c:v>
                </c:pt>
                <c:pt idx="6">
                  <c:v>0.38611053720427507</c:v>
                </c:pt>
                <c:pt idx="7">
                  <c:v>0.40624956956981634</c:v>
                </c:pt>
                <c:pt idx="8">
                  <c:v>0.42638860193535771</c:v>
                </c:pt>
                <c:pt idx="9">
                  <c:v>0.44652763430089898</c:v>
                </c:pt>
                <c:pt idx="10">
                  <c:v>0.4666666666664403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5C-4601-953A-D7475AEB2987}"/>
            </c:ext>
          </c:extLst>
        </c:ser>
        <c:ser>
          <c:idx val="2"/>
          <c:order val="2"/>
          <c:tx>
            <c:v>Company 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Analysis'!$B$175:$B$185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Analysis'!$E$175:$E$185</c:f>
              <c:numCache>
                <c:formatCode>0.0000</c:formatCode>
                <c:ptCount val="11"/>
                <c:pt idx="0">
                  <c:v>0.28506078857823303</c:v>
                </c:pt>
                <c:pt idx="1">
                  <c:v>0.26322137638712173</c:v>
                </c:pt>
                <c:pt idx="2">
                  <c:v>0.24138196419601035</c:v>
                </c:pt>
                <c:pt idx="3">
                  <c:v>0.21954255200489897</c:v>
                </c:pt>
                <c:pt idx="4">
                  <c:v>0.19770313981378757</c:v>
                </c:pt>
                <c:pt idx="5">
                  <c:v>0.17586372762267621</c:v>
                </c:pt>
                <c:pt idx="6">
                  <c:v>0.15402431543156486</c:v>
                </c:pt>
                <c:pt idx="7">
                  <c:v>0.13218490324045348</c:v>
                </c:pt>
                <c:pt idx="8">
                  <c:v>0.11034549104934212</c:v>
                </c:pt>
                <c:pt idx="9">
                  <c:v>8.8506078858230752E-2</c:v>
                </c:pt>
                <c:pt idx="10">
                  <c:v>6.6666666667119387E-2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5C-4601-953A-D7475AEB2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154824"/>
        <c:axId val="387157448"/>
      </c:scatterChart>
      <c:valAx>
        <c:axId val="3871548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Weight of Criterion Location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7448"/>
        <c:crosses val="autoZero"/>
        <c:crossBetween val="midCat"/>
        <c:majorUnit val="0.1"/>
        <c:minorUnit val="5.000000000000001E-2"/>
      </c:valAx>
      <c:valAx>
        <c:axId val="3871574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4824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Company 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Analysis'!$B$198:$B$208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Analysis'!$C$198:$C$208</c:f>
              <c:numCache>
                <c:formatCode>0.0000</c:formatCode>
                <c:ptCount val="11"/>
                <c:pt idx="0">
                  <c:v>0.33517046818072915</c:v>
                </c:pt>
                <c:pt idx="1">
                  <c:v>0.38092915767928204</c:v>
                </c:pt>
                <c:pt idx="2">
                  <c:v>0.42668784717783492</c:v>
                </c:pt>
                <c:pt idx="3">
                  <c:v>0.47244653667638764</c:v>
                </c:pt>
                <c:pt idx="4">
                  <c:v>0.51820522617494058</c:v>
                </c:pt>
                <c:pt idx="5">
                  <c:v>0.56396391567349335</c:v>
                </c:pt>
                <c:pt idx="6">
                  <c:v>0.60972260517204613</c:v>
                </c:pt>
                <c:pt idx="7">
                  <c:v>0.65548129467059901</c:v>
                </c:pt>
                <c:pt idx="8">
                  <c:v>0.7012399841691519</c:v>
                </c:pt>
                <c:pt idx="9">
                  <c:v>0.74699867366770467</c:v>
                </c:pt>
                <c:pt idx="10">
                  <c:v>0.79275736316625756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71-43ED-B5B4-C1C49B7B107B}"/>
            </c:ext>
          </c:extLst>
        </c:ser>
        <c:ser>
          <c:idx val="1"/>
          <c:order val="1"/>
          <c:tx>
            <c:v>Company 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Analysis'!$B$198:$B$208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Analysis'!$D$198:$D$208</c:f>
              <c:numCache>
                <c:formatCode>0.0000</c:formatCode>
                <c:ptCount val="11"/>
                <c:pt idx="0">
                  <c:v>0.35201026870292257</c:v>
                </c:pt>
                <c:pt idx="1">
                  <c:v>0.32993136429595366</c:v>
                </c:pt>
                <c:pt idx="2">
                  <c:v>0.30785245988898463</c:v>
                </c:pt>
                <c:pt idx="3">
                  <c:v>0.28577355548201561</c:v>
                </c:pt>
                <c:pt idx="4">
                  <c:v>0.26369465107504664</c:v>
                </c:pt>
                <c:pt idx="5">
                  <c:v>0.24161574666807761</c:v>
                </c:pt>
                <c:pt idx="6">
                  <c:v>0.21953684226110864</c:v>
                </c:pt>
                <c:pt idx="7">
                  <c:v>0.19745793785413965</c:v>
                </c:pt>
                <c:pt idx="8">
                  <c:v>0.17537903344717065</c:v>
                </c:pt>
                <c:pt idx="9">
                  <c:v>0.15330012904020163</c:v>
                </c:pt>
                <c:pt idx="10">
                  <c:v>0.13122122463323266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71-43ED-B5B4-C1C49B7B107B}"/>
            </c:ext>
          </c:extLst>
        </c:ser>
        <c:ser>
          <c:idx val="2"/>
          <c:order val="2"/>
          <c:tx>
            <c:v>Company 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Analysis'!$B$198:$B$208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Analysis'!$E$198:$E$208</c:f>
              <c:numCache>
                <c:formatCode>0.0000</c:formatCode>
                <c:ptCount val="11"/>
                <c:pt idx="0">
                  <c:v>0.31281926311634811</c:v>
                </c:pt>
                <c:pt idx="1">
                  <c:v>0.28913947802476425</c:v>
                </c:pt>
                <c:pt idx="2">
                  <c:v>0.2654596929331805</c:v>
                </c:pt>
                <c:pt idx="3">
                  <c:v>0.24177990784159661</c:v>
                </c:pt>
                <c:pt idx="4">
                  <c:v>0.21810012275001284</c:v>
                </c:pt>
                <c:pt idx="5">
                  <c:v>0.194420337658429</c:v>
                </c:pt>
                <c:pt idx="6">
                  <c:v>0.1707405525668452</c:v>
                </c:pt>
                <c:pt idx="7">
                  <c:v>0.14706076747526137</c:v>
                </c:pt>
                <c:pt idx="8">
                  <c:v>0.12338098238367751</c:v>
                </c:pt>
                <c:pt idx="9">
                  <c:v>9.9701197292093702E-2</c:v>
                </c:pt>
                <c:pt idx="10">
                  <c:v>7.6021412200509883E-2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71-43ED-B5B4-C1C49B7B1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154824"/>
        <c:axId val="387157448"/>
      </c:scatterChart>
      <c:valAx>
        <c:axId val="3871548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Weight of Criterion Reputation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7448"/>
        <c:crosses val="autoZero"/>
        <c:crossBetween val="midCat"/>
        <c:majorUnit val="0.1"/>
        <c:minorUnit val="5.000000000000001E-2"/>
      </c:valAx>
      <c:valAx>
        <c:axId val="3871574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4824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Company 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Analysis'!$B$83:$B$93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Analysis'!$C$83:$C$93</c:f>
              <c:numCache>
                <c:formatCode>0.0000</c:formatCode>
                <c:ptCount val="11"/>
                <c:pt idx="0">
                  <c:v>0.47873032420094774</c:v>
                </c:pt>
                <c:pt idx="1">
                  <c:v>0.46812523394975836</c:v>
                </c:pt>
                <c:pt idx="2">
                  <c:v>0.45752014369856897</c:v>
                </c:pt>
                <c:pt idx="3">
                  <c:v>0.44691505344737947</c:v>
                </c:pt>
                <c:pt idx="4">
                  <c:v>0.43630996319619009</c:v>
                </c:pt>
                <c:pt idx="5">
                  <c:v>0.4257048729450007</c:v>
                </c:pt>
                <c:pt idx="6">
                  <c:v>0.41509978269381131</c:v>
                </c:pt>
                <c:pt idx="7">
                  <c:v>0.40449469244262193</c:v>
                </c:pt>
                <c:pt idx="8">
                  <c:v>0.39388960219143243</c:v>
                </c:pt>
                <c:pt idx="9">
                  <c:v>0.38328451194024304</c:v>
                </c:pt>
                <c:pt idx="10">
                  <c:v>0.37267942168905366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034-4C0D-8655-C308E5699B07}"/>
            </c:ext>
          </c:extLst>
        </c:ser>
        <c:ser>
          <c:idx val="1"/>
          <c:order val="1"/>
          <c:tx>
            <c:v>Company 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Analysis'!$B$83:$B$93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Analysis'!$D$83:$D$93</c:f>
              <c:numCache>
                <c:formatCode>0.0000</c:formatCode>
                <c:ptCount val="11"/>
                <c:pt idx="0">
                  <c:v>0.29491976975097384</c:v>
                </c:pt>
                <c:pt idx="1">
                  <c:v>0.29516552864062023</c:v>
                </c:pt>
                <c:pt idx="2">
                  <c:v>0.29541128753026663</c:v>
                </c:pt>
                <c:pt idx="3">
                  <c:v>0.29565704641991308</c:v>
                </c:pt>
                <c:pt idx="4">
                  <c:v>0.29590280530955954</c:v>
                </c:pt>
                <c:pt idx="5">
                  <c:v>0.29614856419920593</c:v>
                </c:pt>
                <c:pt idx="6">
                  <c:v>0.29639432308885238</c:v>
                </c:pt>
                <c:pt idx="7">
                  <c:v>0.29664008197849884</c:v>
                </c:pt>
                <c:pt idx="8">
                  <c:v>0.29688584086814523</c:v>
                </c:pt>
                <c:pt idx="9">
                  <c:v>0.29713159975779169</c:v>
                </c:pt>
                <c:pt idx="10">
                  <c:v>0.29737735864743814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034-4C0D-8655-C308E5699B07}"/>
            </c:ext>
          </c:extLst>
        </c:ser>
        <c:ser>
          <c:idx val="2"/>
          <c:order val="2"/>
          <c:tx>
            <c:v>Company 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Analysis'!$B$83:$B$93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Analysis'!$E$83:$E$93</c:f>
              <c:numCache>
                <c:formatCode>0.0000</c:formatCode>
                <c:ptCount val="11"/>
                <c:pt idx="0">
                  <c:v>0.22634990604807823</c:v>
                </c:pt>
                <c:pt idx="1">
                  <c:v>0.23670923740962121</c:v>
                </c:pt>
                <c:pt idx="2">
                  <c:v>0.2470685687711642</c:v>
                </c:pt>
                <c:pt idx="3">
                  <c:v>0.25742790013270717</c:v>
                </c:pt>
                <c:pt idx="4">
                  <c:v>0.26778723149425016</c:v>
                </c:pt>
                <c:pt idx="5">
                  <c:v>0.27814656285579314</c:v>
                </c:pt>
                <c:pt idx="6">
                  <c:v>0.28850589421733619</c:v>
                </c:pt>
                <c:pt idx="7">
                  <c:v>0.29886522557887912</c:v>
                </c:pt>
                <c:pt idx="8">
                  <c:v>0.30922455694042217</c:v>
                </c:pt>
                <c:pt idx="9">
                  <c:v>0.3195838883019651</c:v>
                </c:pt>
                <c:pt idx="10">
                  <c:v>0.32994321966350804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034-4C0D-8655-C308E5699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764624"/>
        <c:axId val="493800072"/>
      </c:scatterChart>
      <c:valAx>
        <c:axId val="4937646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Weight</a:t>
                </a:r>
                <a:r>
                  <a:rPr lang="en-US" baseline="0"/>
                  <a:t> of Sub-Criteriaon Short-Term Growth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800072"/>
        <c:crosses val="autoZero"/>
        <c:crossBetween val="midCat"/>
      </c:valAx>
      <c:valAx>
        <c:axId val="49380007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764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Company 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Analysis'!$B$106:$B$116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Analysis'!$C$106:$C$116</c:f>
              <c:numCache>
                <c:formatCode>0.0000</c:formatCode>
                <c:ptCount val="11"/>
                <c:pt idx="0">
                  <c:v>0.37267942168905366</c:v>
                </c:pt>
                <c:pt idx="1">
                  <c:v>0.38328451194024304</c:v>
                </c:pt>
                <c:pt idx="2">
                  <c:v>0.39388960219143249</c:v>
                </c:pt>
                <c:pt idx="3">
                  <c:v>0.40449469244262187</c:v>
                </c:pt>
                <c:pt idx="4">
                  <c:v>0.41509978269381131</c:v>
                </c:pt>
                <c:pt idx="5">
                  <c:v>0.4257048729450007</c:v>
                </c:pt>
                <c:pt idx="6">
                  <c:v>0.43630996319619009</c:v>
                </c:pt>
                <c:pt idx="7">
                  <c:v>0.44691505344737947</c:v>
                </c:pt>
                <c:pt idx="8">
                  <c:v>0.45752014369856897</c:v>
                </c:pt>
                <c:pt idx="9">
                  <c:v>0.46812523394975836</c:v>
                </c:pt>
                <c:pt idx="10">
                  <c:v>0.47873032420094774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3-4A1B-882E-BC0CF7C74F23}"/>
            </c:ext>
          </c:extLst>
        </c:ser>
        <c:ser>
          <c:idx val="1"/>
          <c:order val="1"/>
          <c:tx>
            <c:v>Company 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Analysis'!$B$106:$B$116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Analysis'!$D$106:$D$116</c:f>
              <c:numCache>
                <c:formatCode>0.0000</c:formatCode>
                <c:ptCount val="11"/>
                <c:pt idx="0">
                  <c:v>0.29737735864743814</c:v>
                </c:pt>
                <c:pt idx="1">
                  <c:v>0.29713159975779169</c:v>
                </c:pt>
                <c:pt idx="2">
                  <c:v>0.29688584086814523</c:v>
                </c:pt>
                <c:pt idx="3">
                  <c:v>0.29664008197849884</c:v>
                </c:pt>
                <c:pt idx="4">
                  <c:v>0.29639432308885238</c:v>
                </c:pt>
                <c:pt idx="5">
                  <c:v>0.29614856419920593</c:v>
                </c:pt>
                <c:pt idx="6">
                  <c:v>0.29590280530955954</c:v>
                </c:pt>
                <c:pt idx="7">
                  <c:v>0.29565704641991308</c:v>
                </c:pt>
                <c:pt idx="8">
                  <c:v>0.29541128753026663</c:v>
                </c:pt>
                <c:pt idx="9">
                  <c:v>0.29516552864062023</c:v>
                </c:pt>
                <c:pt idx="10">
                  <c:v>0.29491976975097384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03-4A1B-882E-BC0CF7C74F23}"/>
            </c:ext>
          </c:extLst>
        </c:ser>
        <c:ser>
          <c:idx val="2"/>
          <c:order val="2"/>
          <c:tx>
            <c:v>Company 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Analysis'!$B$106:$B$116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Analysis'!$E$106:$E$116</c:f>
              <c:numCache>
                <c:formatCode>0.0000</c:formatCode>
                <c:ptCount val="11"/>
                <c:pt idx="0">
                  <c:v>0.32994321966350804</c:v>
                </c:pt>
                <c:pt idx="1">
                  <c:v>0.3195838883019651</c:v>
                </c:pt>
                <c:pt idx="2">
                  <c:v>0.30922455694042217</c:v>
                </c:pt>
                <c:pt idx="3">
                  <c:v>0.29886522557887912</c:v>
                </c:pt>
                <c:pt idx="4">
                  <c:v>0.28850589421733619</c:v>
                </c:pt>
                <c:pt idx="5">
                  <c:v>0.27814656285579314</c:v>
                </c:pt>
                <c:pt idx="6">
                  <c:v>0.26778723149425016</c:v>
                </c:pt>
                <c:pt idx="7">
                  <c:v>0.25742790013270717</c:v>
                </c:pt>
                <c:pt idx="8">
                  <c:v>0.24706856877116418</c:v>
                </c:pt>
                <c:pt idx="9">
                  <c:v>0.23670923740962121</c:v>
                </c:pt>
                <c:pt idx="10">
                  <c:v>0.22634990604807823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03-4A1B-882E-BC0CF7C74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416432"/>
        <c:axId val="499418072"/>
      </c:scatterChart>
      <c:valAx>
        <c:axId val="49941643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Weight</a:t>
                </a:r>
                <a:r>
                  <a:rPr lang="en-US" baseline="0"/>
                  <a:t> of Sub-Criterion Long-Term Growth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18072"/>
        <c:crosses val="autoZero"/>
        <c:crossBetween val="midCat"/>
      </c:valAx>
      <c:valAx>
        <c:axId val="49941807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1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109903</xdr:colOff>
      <xdr:row>33</xdr:row>
      <xdr:rowOff>149721</xdr:rowOff>
    </xdr:from>
    <xdr:to>
      <xdr:col>13</xdr:col>
      <xdr:colOff>571499</xdr:colOff>
      <xdr:row>52</xdr:row>
      <xdr:rowOff>29307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115958</xdr:colOff>
      <xdr:row>56</xdr:row>
      <xdr:rowOff>87923</xdr:rowOff>
    </xdr:from>
    <xdr:to>
      <xdr:col>13</xdr:col>
      <xdr:colOff>586155</xdr:colOff>
      <xdr:row>75</xdr:row>
      <xdr:rowOff>29309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99392</xdr:colOff>
      <xdr:row>126</xdr:row>
      <xdr:rowOff>131379</xdr:rowOff>
    </xdr:from>
    <xdr:to>
      <xdr:col>13</xdr:col>
      <xdr:colOff>554935</xdr:colOff>
      <xdr:row>143</xdr:row>
      <xdr:rowOff>161192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115957</xdr:colOff>
      <xdr:row>149</xdr:row>
      <xdr:rowOff>89340</xdr:rowOff>
    </xdr:from>
    <xdr:to>
      <xdr:col>13</xdr:col>
      <xdr:colOff>538370</xdr:colOff>
      <xdr:row>167</xdr:row>
      <xdr:rowOff>140805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91109</xdr:colOff>
      <xdr:row>172</xdr:row>
      <xdr:rowOff>85345</xdr:rowOff>
    </xdr:from>
    <xdr:to>
      <xdr:col>13</xdr:col>
      <xdr:colOff>513521</xdr:colOff>
      <xdr:row>190</xdr:row>
      <xdr:rowOff>107674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57979</xdr:colOff>
      <xdr:row>194</xdr:row>
      <xdr:rowOff>91108</xdr:rowOff>
    </xdr:from>
    <xdr:to>
      <xdr:col>13</xdr:col>
      <xdr:colOff>571500</xdr:colOff>
      <xdr:row>213</xdr:row>
      <xdr:rowOff>115958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99392</xdr:colOff>
      <xdr:row>79</xdr:row>
      <xdr:rowOff>99391</xdr:rowOff>
    </xdr:from>
    <xdr:to>
      <xdr:col>14</xdr:col>
      <xdr:colOff>16566</xdr:colOff>
      <xdr:row>98</xdr:row>
      <xdr:rowOff>82825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124240</xdr:colOff>
      <xdr:row>102</xdr:row>
      <xdr:rowOff>148259</xdr:rowOff>
    </xdr:from>
    <xdr:to>
      <xdr:col>13</xdr:col>
      <xdr:colOff>579782</xdr:colOff>
      <xdr:row>121</xdr:row>
      <xdr:rowOff>74543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09"/>
  <sheetViews>
    <sheetView tabSelected="1" zoomScaleNormal="100" workbookViewId="0"/>
  </sheetViews>
  <sheetFormatPr defaultRowHeight="14.5" x14ac:dyDescent="0.35"/>
  <cols>
    <col min="1" max="1" width="11.453125" customWidth="1"/>
    <col min="2" max="2" width="9.7265625" customWidth="1"/>
    <col min="3" max="3" width="8.54296875" customWidth="1"/>
    <col min="4" max="4" width="8.81640625" customWidth="1"/>
    <col min="5" max="6" width="9" customWidth="1"/>
    <col min="7" max="7" width="8.81640625" customWidth="1"/>
    <col min="8" max="8" width="9.54296875" customWidth="1"/>
    <col min="9" max="9" width="10.81640625" customWidth="1"/>
    <col min="10" max="10" width="9.453125" customWidth="1"/>
    <col min="11" max="11" width="9" customWidth="1"/>
    <col min="12" max="12" width="10.7265625" customWidth="1"/>
  </cols>
  <sheetData>
    <row r="1" spans="1:18" ht="18.5" x14ac:dyDescent="0.45">
      <c r="A1" s="128" t="s">
        <v>54</v>
      </c>
      <c r="B1" s="129"/>
      <c r="C1" s="129"/>
      <c r="D1" s="129"/>
      <c r="E1" s="129"/>
      <c r="F1" s="129"/>
      <c r="G1" s="130"/>
      <c r="H1" s="131"/>
      <c r="I1" s="132"/>
      <c r="J1" s="30"/>
      <c r="K1" s="30"/>
      <c r="L1" s="21"/>
      <c r="M1" s="21"/>
      <c r="N1" s="21"/>
      <c r="O1" s="21"/>
      <c r="P1" s="21"/>
      <c r="Q1" s="21"/>
    </row>
    <row r="2" spans="1:18" x14ac:dyDescent="0.35">
      <c r="A2" s="133" t="s">
        <v>55</v>
      </c>
      <c r="B2" s="133"/>
      <c r="C2" s="133"/>
      <c r="D2" s="133"/>
      <c r="E2" s="133"/>
      <c r="F2" s="30"/>
      <c r="G2" s="30"/>
      <c r="H2" s="30"/>
      <c r="I2" s="30"/>
      <c r="J2" s="30"/>
      <c r="K2" s="30"/>
      <c r="L2" s="21"/>
      <c r="M2" s="21"/>
      <c r="N2" s="21"/>
      <c r="O2" s="21"/>
      <c r="P2" s="21"/>
      <c r="Q2" s="21"/>
    </row>
    <row r="3" spans="1:18" x14ac:dyDescent="0.35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</row>
    <row r="4" spans="1:18" ht="15.5" x14ac:dyDescent="0.35">
      <c r="A4" s="109" t="s">
        <v>60</v>
      </c>
      <c r="B4" s="109"/>
      <c r="C4" s="109"/>
      <c r="D4" s="109"/>
      <c r="E4" s="109"/>
      <c r="F4" s="109"/>
      <c r="G4" s="109"/>
      <c r="H4" s="110"/>
      <c r="I4" s="110"/>
      <c r="J4" s="110"/>
      <c r="K4" s="110"/>
      <c r="L4" s="21"/>
      <c r="M4" s="21"/>
      <c r="N4" s="21"/>
      <c r="O4" s="21"/>
      <c r="P4" s="21"/>
      <c r="Q4" s="21"/>
    </row>
    <row r="5" spans="1:18" ht="14.25" customHeight="1" x14ac:dyDescent="0.35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</row>
    <row r="6" spans="1:18" ht="21.75" customHeight="1" x14ac:dyDescent="0.35">
      <c r="A6" s="39"/>
      <c r="B6" s="43" t="s">
        <v>0</v>
      </c>
      <c r="C6" s="43" t="s">
        <v>1</v>
      </c>
      <c r="D6" s="43" t="s">
        <v>2</v>
      </c>
      <c r="E6" s="43" t="s">
        <v>3</v>
      </c>
      <c r="F6" s="43" t="s">
        <v>4</v>
      </c>
      <c r="G6" s="43" t="s">
        <v>5</v>
      </c>
      <c r="H6" s="64" t="s">
        <v>15</v>
      </c>
      <c r="I6" s="21"/>
      <c r="J6" s="21"/>
      <c r="K6" s="21"/>
      <c r="L6" s="21"/>
      <c r="M6" s="21"/>
      <c r="N6" s="21"/>
      <c r="O6" s="21"/>
      <c r="P6" s="21"/>
      <c r="Q6" s="21"/>
    </row>
    <row r="7" spans="1:18" x14ac:dyDescent="0.35">
      <c r="A7" s="43" t="s">
        <v>0</v>
      </c>
      <c r="B7" s="24">
        <v>1</v>
      </c>
      <c r="C7" s="33">
        <v>1</v>
      </c>
      <c r="D7" s="33">
        <v>1</v>
      </c>
      <c r="E7" s="33">
        <v>4</v>
      </c>
      <c r="F7" s="33">
        <v>1</v>
      </c>
      <c r="G7" s="34">
        <f>1/2</f>
        <v>0.5</v>
      </c>
      <c r="H7" s="40">
        <f t="array" ref="H7:H14">AHPmat_Algebra(B7:G12)</f>
        <v>0.15840818878103241</v>
      </c>
      <c r="I7" s="21"/>
      <c r="J7" s="21"/>
      <c r="K7" s="21"/>
      <c r="L7" s="21"/>
      <c r="M7" s="21"/>
      <c r="N7" s="21"/>
      <c r="O7" s="21"/>
      <c r="P7" s="21"/>
      <c r="Q7" s="21"/>
    </row>
    <row r="8" spans="1:18" x14ac:dyDescent="0.35">
      <c r="A8" s="43" t="s">
        <v>1</v>
      </c>
      <c r="B8" s="24">
        <f>1/C7</f>
        <v>1</v>
      </c>
      <c r="C8" s="24">
        <v>1</v>
      </c>
      <c r="D8" s="33">
        <v>2</v>
      </c>
      <c r="E8" s="33">
        <v>4</v>
      </c>
      <c r="F8" s="33">
        <v>1</v>
      </c>
      <c r="G8" s="34">
        <f>1/2</f>
        <v>0.5</v>
      </c>
      <c r="H8" s="40">
        <v>0.1892472459273436</v>
      </c>
      <c r="I8" s="21"/>
      <c r="J8" s="21"/>
      <c r="K8" s="21"/>
      <c r="L8" s="21"/>
      <c r="M8" s="21"/>
      <c r="N8" s="21"/>
      <c r="O8" s="21"/>
      <c r="P8" s="21"/>
      <c r="Q8" s="21"/>
    </row>
    <row r="9" spans="1:18" x14ac:dyDescent="0.35">
      <c r="A9" s="43" t="s">
        <v>2</v>
      </c>
      <c r="B9" s="24">
        <f>1/D7</f>
        <v>1</v>
      </c>
      <c r="C9" s="26">
        <f>1/D8</f>
        <v>0.5</v>
      </c>
      <c r="D9" s="24">
        <v>1</v>
      </c>
      <c r="E9" s="33">
        <v>5</v>
      </c>
      <c r="F9" s="33">
        <v>3</v>
      </c>
      <c r="G9" s="34">
        <f>1/2</f>
        <v>0.5</v>
      </c>
      <c r="H9" s="40">
        <v>0.19799736188507144</v>
      </c>
      <c r="I9" s="21"/>
      <c r="J9" s="21"/>
      <c r="K9" s="21"/>
      <c r="L9" s="21"/>
      <c r="M9" s="21"/>
      <c r="N9" s="21"/>
      <c r="O9" s="21"/>
      <c r="P9" s="21"/>
      <c r="Q9" s="21"/>
    </row>
    <row r="10" spans="1:18" x14ac:dyDescent="0.35">
      <c r="A10" s="43" t="s">
        <v>3</v>
      </c>
      <c r="B10" s="26">
        <f>1/E7</f>
        <v>0.25</v>
      </c>
      <c r="C10" s="26">
        <f>1/E8</f>
        <v>0.25</v>
      </c>
      <c r="D10" s="26">
        <f>1/E9</f>
        <v>0.2</v>
      </c>
      <c r="E10" s="24">
        <v>1</v>
      </c>
      <c r="F10" s="34">
        <f>1/3</f>
        <v>0.33333333333333331</v>
      </c>
      <c r="G10" s="34">
        <f>1/3</f>
        <v>0.33333333333333331</v>
      </c>
      <c r="H10" s="40">
        <v>4.8310388778144399E-2</v>
      </c>
      <c r="I10" s="21"/>
      <c r="J10" s="21"/>
      <c r="K10" s="21"/>
      <c r="L10" s="21"/>
      <c r="M10" s="21"/>
      <c r="N10" s="21"/>
      <c r="O10" s="21"/>
      <c r="P10" s="21"/>
      <c r="Q10" s="21"/>
    </row>
    <row r="11" spans="1:18" x14ac:dyDescent="0.35">
      <c r="A11" s="43" t="s">
        <v>4</v>
      </c>
      <c r="B11" s="24">
        <f>1/F7</f>
        <v>1</v>
      </c>
      <c r="C11" s="24">
        <f>1/F8</f>
        <v>1</v>
      </c>
      <c r="D11" s="26">
        <f>1/F9</f>
        <v>0.33333333333333331</v>
      </c>
      <c r="E11" s="24">
        <f>1/F10</f>
        <v>3</v>
      </c>
      <c r="F11" s="24">
        <v>1</v>
      </c>
      <c r="G11" s="33">
        <v>1</v>
      </c>
      <c r="H11" s="40">
        <v>0.15024467618325962</v>
      </c>
      <c r="I11" s="21"/>
      <c r="J11" s="21"/>
      <c r="K11" s="21"/>
      <c r="L11" s="21"/>
      <c r="M11" s="21"/>
      <c r="N11" s="21"/>
      <c r="O11" s="21"/>
      <c r="P11" s="21"/>
      <c r="Q11" s="21"/>
    </row>
    <row r="12" spans="1:18" x14ac:dyDescent="0.35">
      <c r="A12" s="43" t="s">
        <v>5</v>
      </c>
      <c r="B12" s="24">
        <f>1/G7</f>
        <v>2</v>
      </c>
      <c r="C12" s="24">
        <f>1/G8</f>
        <v>2</v>
      </c>
      <c r="D12" s="24">
        <f>1/G9</f>
        <v>2</v>
      </c>
      <c r="E12" s="24">
        <f>1/G10</f>
        <v>3</v>
      </c>
      <c r="F12" s="24">
        <f>1/G11</f>
        <v>1</v>
      </c>
      <c r="G12" s="24">
        <v>1</v>
      </c>
      <c r="H12" s="40">
        <v>0.25579213844514831</v>
      </c>
      <c r="I12" s="21"/>
      <c r="J12" s="21"/>
      <c r="K12" s="21"/>
      <c r="L12" s="21"/>
      <c r="M12" s="21"/>
      <c r="N12" s="21"/>
      <c r="O12" s="21"/>
      <c r="P12" s="21"/>
      <c r="Q12" s="21"/>
    </row>
    <row r="13" spans="1:18" x14ac:dyDescent="0.35">
      <c r="A13" s="31"/>
      <c r="B13" s="32"/>
      <c r="C13" s="32"/>
      <c r="D13" s="32"/>
      <c r="E13" s="32"/>
      <c r="F13" s="21"/>
      <c r="G13" s="112" t="s">
        <v>52</v>
      </c>
      <c r="H13" s="120">
        <v>6.420344206559335</v>
      </c>
      <c r="I13" s="21"/>
      <c r="J13" s="21"/>
      <c r="K13" s="21"/>
      <c r="L13" s="21"/>
      <c r="M13" s="21"/>
      <c r="N13" s="21"/>
      <c r="O13" s="21"/>
      <c r="P13" s="21"/>
      <c r="Q13" s="21"/>
      <c r="R13" s="21"/>
    </row>
    <row r="14" spans="1:18" x14ac:dyDescent="0.35">
      <c r="A14" s="31"/>
      <c r="B14" s="32"/>
      <c r="C14" s="32"/>
      <c r="D14" s="32"/>
      <c r="E14" s="32"/>
      <c r="F14" s="21"/>
      <c r="G14" s="113" t="s">
        <v>53</v>
      </c>
      <c r="H14" s="120">
        <v>6.7797452670860486E-2</v>
      </c>
      <c r="I14" s="114" t="str">
        <f>IF(H14&lt;0.1, "&lt; 0.1", "&gt; 0.1")</f>
        <v>&lt; 0.1</v>
      </c>
      <c r="J14" s="21"/>
      <c r="K14" s="21"/>
      <c r="L14" s="21"/>
      <c r="M14" s="21"/>
      <c r="N14" s="21"/>
      <c r="O14" s="21"/>
      <c r="P14" s="21"/>
      <c r="Q14" s="21"/>
    </row>
    <row r="15" spans="1:18" x14ac:dyDescent="0.35">
      <c r="A15" s="31"/>
      <c r="B15" s="32"/>
      <c r="C15" s="32"/>
      <c r="D15" s="32"/>
      <c r="E15" s="32"/>
      <c r="F15" s="21"/>
      <c r="G15" s="21"/>
      <c r="H15" s="21"/>
      <c r="I15" s="25"/>
      <c r="J15" s="21"/>
      <c r="K15" s="21"/>
      <c r="L15" s="21"/>
      <c r="M15" s="21"/>
      <c r="N15" s="21"/>
      <c r="O15" s="21"/>
      <c r="P15" s="21"/>
      <c r="Q15" s="21"/>
    </row>
    <row r="16" spans="1:18" x14ac:dyDescent="0.35">
      <c r="A16" s="31"/>
      <c r="B16" s="32"/>
      <c r="C16" s="32"/>
      <c r="D16" s="32"/>
      <c r="E16" s="32"/>
      <c r="F16" s="32"/>
      <c r="G16" s="37"/>
      <c r="H16" s="21"/>
      <c r="I16" s="25"/>
      <c r="J16" s="21"/>
      <c r="K16" s="21"/>
      <c r="L16" s="21"/>
      <c r="M16" s="21"/>
      <c r="N16" s="21"/>
      <c r="O16" s="21"/>
      <c r="P16" s="21"/>
      <c r="Q16" s="21"/>
    </row>
    <row r="17" spans="1:18" ht="15.5" x14ac:dyDescent="0.35">
      <c r="A17" s="109" t="s">
        <v>36</v>
      </c>
      <c r="B17" s="29"/>
      <c r="C17" s="29"/>
      <c r="D17" s="29"/>
      <c r="E17" s="29"/>
      <c r="F17" s="29"/>
      <c r="G17" s="29"/>
      <c r="H17" s="30"/>
      <c r="I17" s="25"/>
      <c r="J17" s="21"/>
      <c r="K17" s="21"/>
      <c r="L17" s="21"/>
      <c r="M17" s="21"/>
      <c r="N17" s="21"/>
      <c r="O17" s="21"/>
      <c r="P17" s="21"/>
      <c r="Q17" s="21"/>
    </row>
    <row r="18" spans="1:18" x14ac:dyDescent="0.35">
      <c r="A18" s="31"/>
      <c r="B18" s="32"/>
      <c r="C18" s="32"/>
      <c r="D18" s="32"/>
      <c r="E18" s="32"/>
      <c r="F18" s="32"/>
      <c r="G18" s="37"/>
      <c r="H18" s="21"/>
      <c r="I18" s="25"/>
      <c r="J18" s="21"/>
      <c r="K18" s="21"/>
      <c r="L18" s="21"/>
      <c r="M18" s="21"/>
      <c r="N18" s="21"/>
      <c r="O18" s="21"/>
      <c r="P18" s="21"/>
      <c r="Q18" s="21"/>
    </row>
    <row r="19" spans="1:18" x14ac:dyDescent="0.35">
      <c r="A19" s="51"/>
      <c r="B19" s="45" t="s">
        <v>16</v>
      </c>
      <c r="C19" s="45" t="s">
        <v>17</v>
      </c>
      <c r="D19" s="64" t="s">
        <v>15</v>
      </c>
      <c r="E19" s="32"/>
      <c r="F19" s="37"/>
      <c r="G19" s="21"/>
      <c r="H19" s="25"/>
      <c r="I19" s="21"/>
      <c r="J19" s="21"/>
      <c r="K19" s="21"/>
      <c r="L19" s="21"/>
      <c r="M19" s="21"/>
      <c r="N19" s="21"/>
      <c r="O19" s="21"/>
      <c r="P19" s="21"/>
    </row>
    <row r="20" spans="1:18" x14ac:dyDescent="0.35">
      <c r="A20" s="105" t="s">
        <v>18</v>
      </c>
      <c r="B20" s="24">
        <v>1</v>
      </c>
      <c r="C20" s="34">
        <f>1/3</f>
        <v>0.33333333333333331</v>
      </c>
      <c r="D20" s="70">
        <f t="array" ref="D20:D23">AHPmat_Algebra(B20:C21)</f>
        <v>0.24999999999454303</v>
      </c>
      <c r="E20" s="32"/>
      <c r="F20" s="106"/>
      <c r="G20" s="21"/>
      <c r="H20" s="25"/>
      <c r="I20" s="21"/>
      <c r="J20" s="21"/>
      <c r="K20" s="21"/>
      <c r="L20" s="21"/>
      <c r="M20" s="21"/>
      <c r="N20" s="21"/>
      <c r="O20" s="21"/>
      <c r="P20" s="21"/>
    </row>
    <row r="21" spans="1:18" x14ac:dyDescent="0.35">
      <c r="A21" s="105" t="s">
        <v>19</v>
      </c>
      <c r="B21" s="24">
        <f>1/C20</f>
        <v>3</v>
      </c>
      <c r="C21" s="24">
        <v>1</v>
      </c>
      <c r="D21" s="70">
        <v>0.75000000000545708</v>
      </c>
      <c r="E21" s="32"/>
      <c r="F21" s="37"/>
      <c r="G21" s="21"/>
      <c r="H21" s="25"/>
      <c r="I21" s="21"/>
      <c r="J21" s="21"/>
      <c r="K21" s="21"/>
      <c r="L21" s="21"/>
      <c r="M21" s="21"/>
      <c r="N21" s="21"/>
      <c r="O21" s="21"/>
      <c r="P21" s="21"/>
    </row>
    <row r="22" spans="1:18" x14ac:dyDescent="0.35">
      <c r="A22" s="21"/>
      <c r="B22" s="37"/>
      <c r="C22" s="112" t="s">
        <v>52</v>
      </c>
      <c r="D22" s="24">
        <v>2.0000000000291038</v>
      </c>
      <c r="E22" s="32"/>
      <c r="F22" s="32"/>
      <c r="G22" s="37"/>
      <c r="H22" s="21"/>
      <c r="I22" s="25"/>
      <c r="J22" s="21"/>
      <c r="K22" s="21"/>
      <c r="L22" s="21"/>
      <c r="M22" s="21"/>
      <c r="N22" s="21"/>
      <c r="O22" s="21"/>
      <c r="P22" s="21"/>
      <c r="Q22" s="21"/>
    </row>
    <row r="23" spans="1:18" x14ac:dyDescent="0.35">
      <c r="A23" s="21"/>
      <c r="B23" s="37"/>
      <c r="C23" s="113" t="s">
        <v>53</v>
      </c>
      <c r="D23" s="24">
        <v>0</v>
      </c>
      <c r="E23" s="114" t="str">
        <f>IF(D23&lt;0.1, "&lt; 0.1", "&gt; 0.1")</f>
        <v>&lt; 0.1</v>
      </c>
      <c r="F23" s="32"/>
      <c r="G23" s="37"/>
      <c r="H23" s="21"/>
      <c r="I23" s="25"/>
      <c r="J23" s="21"/>
      <c r="K23" s="21"/>
      <c r="L23" s="21"/>
      <c r="M23" s="21"/>
      <c r="N23" s="21"/>
      <c r="O23" s="21"/>
      <c r="P23" s="21"/>
      <c r="Q23" s="21"/>
    </row>
    <row r="24" spans="1:18" x14ac:dyDescent="0.35">
      <c r="A24" s="21"/>
      <c r="B24" s="37"/>
      <c r="C24" s="32"/>
      <c r="D24" s="32"/>
      <c r="E24" s="32"/>
      <c r="F24" s="32"/>
      <c r="G24" s="37"/>
      <c r="H24" s="21"/>
      <c r="I24" s="25"/>
      <c r="J24" s="21"/>
      <c r="K24" s="21"/>
      <c r="L24" s="21"/>
      <c r="M24" s="21"/>
      <c r="N24" s="21"/>
      <c r="O24" s="21"/>
      <c r="P24" s="21"/>
      <c r="Q24" s="21"/>
    </row>
    <row r="25" spans="1:18" x14ac:dyDescent="0.35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1:18" ht="15.5" x14ac:dyDescent="0.35">
      <c r="A26" s="109" t="s">
        <v>14</v>
      </c>
      <c r="B26" s="30"/>
      <c r="C26" s="30"/>
      <c r="D26" s="30"/>
      <c r="E26" s="30"/>
      <c r="F26" s="30"/>
      <c r="G26" s="30"/>
      <c r="H26" s="30"/>
      <c r="I26" s="21"/>
      <c r="J26" s="21"/>
      <c r="K26" s="21"/>
      <c r="L26" s="21"/>
      <c r="M26" s="21"/>
      <c r="N26" s="21"/>
      <c r="O26" s="21"/>
      <c r="P26" s="21"/>
      <c r="Q26" s="21"/>
    </row>
    <row r="27" spans="1:18" x14ac:dyDescent="0.35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</row>
    <row r="28" spans="1:18" x14ac:dyDescent="0.35">
      <c r="A28" s="39"/>
      <c r="B28" s="45" t="s">
        <v>9</v>
      </c>
      <c r="C28" s="45" t="s">
        <v>10</v>
      </c>
      <c r="D28" s="45" t="s">
        <v>11</v>
      </c>
      <c r="E28" s="64" t="s">
        <v>15</v>
      </c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</row>
    <row r="29" spans="1:18" x14ac:dyDescent="0.35">
      <c r="A29" s="39" t="s">
        <v>6</v>
      </c>
      <c r="B29" s="24">
        <v>1</v>
      </c>
      <c r="C29" s="34">
        <f>1/4</f>
        <v>0.25</v>
      </c>
      <c r="D29" s="34">
        <f>1/2</f>
        <v>0.5</v>
      </c>
      <c r="E29" s="40">
        <f t="array" ref="E29:E33">AHPmat_Algebra(B29:D31)</f>
        <v>0.13649980298885034</v>
      </c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</row>
    <row r="30" spans="1:18" x14ac:dyDescent="0.35">
      <c r="A30" s="39" t="s">
        <v>7</v>
      </c>
      <c r="B30" s="24">
        <f>1/C29</f>
        <v>4</v>
      </c>
      <c r="C30" s="24">
        <v>1</v>
      </c>
      <c r="D30" s="33">
        <v>3</v>
      </c>
      <c r="E30" s="40">
        <v>0.62501307434825804</v>
      </c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</row>
    <row r="31" spans="1:18" x14ac:dyDescent="0.35">
      <c r="A31" s="39" t="s">
        <v>8</v>
      </c>
      <c r="B31" s="24">
        <f>1/D29</f>
        <v>2</v>
      </c>
      <c r="C31" s="26">
        <f>1/D30</f>
        <v>0.33333333333333331</v>
      </c>
      <c r="D31" s="24">
        <v>1</v>
      </c>
      <c r="E31" s="40">
        <v>0.23848712266289157</v>
      </c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</row>
    <row r="32" spans="1:18" x14ac:dyDescent="0.35">
      <c r="A32" s="21"/>
      <c r="B32" s="21"/>
      <c r="C32" s="21"/>
      <c r="D32" s="112" t="s">
        <v>52</v>
      </c>
      <c r="E32" s="119">
        <v>3.0182947072898969</v>
      </c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</row>
    <row r="33" spans="1:17" x14ac:dyDescent="0.35">
      <c r="A33" s="21"/>
      <c r="B33" s="21"/>
      <c r="C33" s="21"/>
      <c r="D33" s="113" t="s">
        <v>53</v>
      </c>
      <c r="E33" s="119">
        <v>1.577129938784216E-2</v>
      </c>
      <c r="F33" s="114" t="str">
        <f>IF(E33&lt;0.1, "&lt; 0.1", "&gt; 0.1")</f>
        <v>&lt; 0.1</v>
      </c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</row>
    <row r="34" spans="1:17" x14ac:dyDescent="0.35">
      <c r="A34" s="21"/>
      <c r="B34" s="21"/>
      <c r="C34" s="21"/>
      <c r="D34" s="21"/>
      <c r="E34" s="21"/>
      <c r="F34" s="28"/>
      <c r="G34" s="27"/>
      <c r="H34" s="21"/>
      <c r="I34" s="21"/>
      <c r="J34" s="21"/>
      <c r="K34" s="21"/>
      <c r="L34" s="21"/>
      <c r="M34" s="21"/>
      <c r="N34" s="21"/>
      <c r="O34" s="21"/>
      <c r="P34" s="21"/>
      <c r="Q34" s="21"/>
    </row>
    <row r="35" spans="1:17" x14ac:dyDescent="0.35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</row>
    <row r="36" spans="1:17" ht="15.5" x14ac:dyDescent="0.35">
      <c r="A36" s="109" t="s">
        <v>21</v>
      </c>
      <c r="B36" s="30"/>
      <c r="C36" s="30"/>
      <c r="D36" s="30"/>
      <c r="E36" s="30"/>
      <c r="F36" s="30"/>
      <c r="G36" s="30"/>
      <c r="H36" s="30"/>
      <c r="I36" s="21"/>
      <c r="J36" s="21"/>
      <c r="K36" s="21"/>
      <c r="L36" s="21"/>
      <c r="M36" s="21"/>
      <c r="N36" s="21"/>
      <c r="O36" s="21"/>
      <c r="P36" s="21"/>
      <c r="Q36" s="21"/>
    </row>
    <row r="37" spans="1:17" x14ac:dyDescent="0.35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</row>
    <row r="38" spans="1:17" x14ac:dyDescent="0.35">
      <c r="A38" s="39"/>
      <c r="B38" s="45" t="s">
        <v>9</v>
      </c>
      <c r="C38" s="45" t="s">
        <v>10</v>
      </c>
      <c r="D38" s="45" t="s">
        <v>11</v>
      </c>
      <c r="E38" s="64" t="s">
        <v>15</v>
      </c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</row>
    <row r="39" spans="1:17" x14ac:dyDescent="0.35">
      <c r="A39" s="39" t="s">
        <v>6</v>
      </c>
      <c r="B39" s="24">
        <v>1</v>
      </c>
      <c r="C39" s="34">
        <f>1/3</f>
        <v>0.33333333333333331</v>
      </c>
      <c r="D39" s="34">
        <f>1/7</f>
        <v>0.14285714285714285</v>
      </c>
      <c r="E39" s="40">
        <f t="array" ref="E39:E43">AHPmat_Algebra(B39:D41)</f>
        <v>8.7946208818644123E-2</v>
      </c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</row>
    <row r="40" spans="1:17" x14ac:dyDescent="0.35">
      <c r="A40" s="39" t="s">
        <v>7</v>
      </c>
      <c r="B40" s="24">
        <f>1/C39</f>
        <v>3</v>
      </c>
      <c r="C40" s="24">
        <v>1</v>
      </c>
      <c r="D40" s="34">
        <f>1/3</f>
        <v>0.33333333333333331</v>
      </c>
      <c r="E40" s="40">
        <v>0.24263692173072052</v>
      </c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</row>
    <row r="41" spans="1:17" x14ac:dyDescent="0.35">
      <c r="A41" s="39" t="s">
        <v>8</v>
      </c>
      <c r="B41" s="24">
        <f>1/D39</f>
        <v>7</v>
      </c>
      <c r="C41" s="24">
        <f>1/D40</f>
        <v>3</v>
      </c>
      <c r="D41" s="24">
        <v>1</v>
      </c>
      <c r="E41" s="40">
        <v>0.66941686945063539</v>
      </c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</row>
    <row r="42" spans="1:17" x14ac:dyDescent="0.35">
      <c r="A42" s="21"/>
      <c r="B42" s="21"/>
      <c r="C42" s="21"/>
      <c r="D42" s="112" t="s">
        <v>52</v>
      </c>
      <c r="E42" s="119">
        <v>3.0070217651373241</v>
      </c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</row>
    <row r="43" spans="1:17" x14ac:dyDescent="0.35">
      <c r="A43" s="21"/>
      <c r="B43" s="21"/>
      <c r="C43" s="21"/>
      <c r="D43" s="113" t="s">
        <v>53</v>
      </c>
      <c r="E43" s="119">
        <v>6.0532458080380259E-3</v>
      </c>
      <c r="F43" s="114" t="str">
        <f>IF(E43&lt;0.1, "&lt; 0.1", "&gt; 0.1")</f>
        <v>&lt; 0.1</v>
      </c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</row>
    <row r="44" spans="1:17" x14ac:dyDescent="0.35">
      <c r="A44" s="21"/>
      <c r="B44" s="21"/>
      <c r="C44" s="21"/>
      <c r="D44" s="21"/>
      <c r="E44" s="21"/>
      <c r="F44" s="37"/>
      <c r="G44" s="32"/>
      <c r="H44" s="21"/>
      <c r="I44" s="21"/>
      <c r="J44" s="21"/>
      <c r="K44" s="21"/>
      <c r="L44" s="21"/>
      <c r="M44" s="21"/>
      <c r="N44" s="21"/>
      <c r="O44" s="21"/>
      <c r="P44" s="21"/>
      <c r="Q44" s="21"/>
    </row>
    <row r="45" spans="1:17" x14ac:dyDescent="0.35">
      <c r="A45" s="21"/>
      <c r="B45" s="21"/>
      <c r="C45" s="21"/>
      <c r="D45" s="21"/>
      <c r="E45" s="21"/>
      <c r="F45" s="25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</row>
    <row r="46" spans="1:17" ht="15.5" x14ac:dyDescent="0.35">
      <c r="A46" s="109" t="s">
        <v>22</v>
      </c>
      <c r="B46" s="30"/>
      <c r="C46" s="30"/>
      <c r="D46" s="30"/>
      <c r="E46" s="30"/>
      <c r="F46" s="30"/>
      <c r="G46" s="30"/>
      <c r="H46" s="30"/>
      <c r="I46" s="21"/>
      <c r="J46" s="21"/>
      <c r="K46" s="21"/>
      <c r="L46" s="21"/>
      <c r="M46" s="21"/>
      <c r="N46" s="21"/>
      <c r="O46" s="21"/>
      <c r="P46" s="21"/>
      <c r="Q46" s="21"/>
    </row>
    <row r="47" spans="1:17" x14ac:dyDescent="0.35">
      <c r="H47" s="21"/>
      <c r="I47" s="21"/>
      <c r="J47" s="21"/>
      <c r="K47" s="21"/>
      <c r="L47" s="21"/>
      <c r="M47" s="21"/>
      <c r="N47" s="21"/>
      <c r="O47" s="21"/>
      <c r="P47" s="21"/>
      <c r="Q47" s="21"/>
    </row>
    <row r="48" spans="1:17" x14ac:dyDescent="0.35">
      <c r="A48" s="39"/>
      <c r="B48" s="45" t="s">
        <v>9</v>
      </c>
      <c r="C48" s="45" t="s">
        <v>10</v>
      </c>
      <c r="D48" s="45" t="s">
        <v>11</v>
      </c>
      <c r="E48" s="64" t="s">
        <v>15</v>
      </c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</row>
    <row r="49" spans="1:18" x14ac:dyDescent="0.35">
      <c r="A49" s="39" t="s">
        <v>6</v>
      </c>
      <c r="B49" s="24">
        <v>1</v>
      </c>
      <c r="C49" s="33">
        <v>3</v>
      </c>
      <c r="D49" s="33">
        <v>5</v>
      </c>
      <c r="E49" s="40">
        <f t="array" ref="E49:E53">AHPmat_Algebra(B49:D51)</f>
        <v>0.64832901382183794</v>
      </c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</row>
    <row r="50" spans="1:18" x14ac:dyDescent="0.35">
      <c r="A50" s="39" t="s">
        <v>7</v>
      </c>
      <c r="B50" s="26">
        <f>1/C49</f>
        <v>0.33333333333333331</v>
      </c>
      <c r="C50" s="24">
        <v>1</v>
      </c>
      <c r="D50" s="33">
        <v>2</v>
      </c>
      <c r="E50" s="40">
        <v>0.22965079406253855</v>
      </c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</row>
    <row r="51" spans="1:18" x14ac:dyDescent="0.35">
      <c r="A51" s="39" t="s">
        <v>8</v>
      </c>
      <c r="B51" s="24">
        <f>1/D49</f>
        <v>0.2</v>
      </c>
      <c r="C51" s="24">
        <f>1/D50</f>
        <v>0.5</v>
      </c>
      <c r="D51" s="24">
        <v>1</v>
      </c>
      <c r="E51" s="40">
        <v>0.12202019211562341</v>
      </c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</row>
    <row r="52" spans="1:18" x14ac:dyDescent="0.35">
      <c r="A52" s="21"/>
      <c r="B52" s="21"/>
      <c r="C52" s="21"/>
      <c r="D52" s="112" t="s">
        <v>52</v>
      </c>
      <c r="E52" s="119">
        <v>3.0036945980682503</v>
      </c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</row>
    <row r="53" spans="1:18" x14ac:dyDescent="0.35">
      <c r="A53" s="21"/>
      <c r="B53" s="21"/>
      <c r="C53" s="21"/>
      <c r="D53" s="113" t="s">
        <v>53</v>
      </c>
      <c r="E53" s="119">
        <v>3.1849983346985719E-3</v>
      </c>
      <c r="F53" s="114" t="str">
        <f>IF(E53&lt;0.1, "&lt; 0.1", "&gt; 0.1")</f>
        <v>&lt; 0.1</v>
      </c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</row>
    <row r="54" spans="1:18" x14ac:dyDescent="0.35">
      <c r="A54" s="21"/>
      <c r="B54" s="21"/>
      <c r="C54" s="21"/>
      <c r="D54" s="21"/>
      <c r="E54" s="21"/>
      <c r="F54" s="28"/>
      <c r="G54" s="27"/>
      <c r="H54" s="21"/>
      <c r="I54" s="21"/>
      <c r="J54" s="21"/>
      <c r="K54" s="21"/>
      <c r="L54" s="21"/>
      <c r="M54" s="21"/>
      <c r="N54" s="21"/>
      <c r="O54" s="21"/>
      <c r="P54" s="21"/>
      <c r="Q54" s="21"/>
    </row>
    <row r="55" spans="1:18" x14ac:dyDescent="0.35">
      <c r="A55" s="21"/>
      <c r="B55" s="21"/>
      <c r="C55" s="32"/>
      <c r="D55" s="28"/>
      <c r="E55" s="21"/>
      <c r="F55" s="28"/>
      <c r="G55" s="27"/>
      <c r="H55" s="21"/>
      <c r="I55" s="21"/>
      <c r="J55" s="21"/>
      <c r="K55" s="21"/>
      <c r="L55" s="21"/>
      <c r="M55" s="21"/>
      <c r="N55" s="21"/>
      <c r="O55" s="21"/>
      <c r="P55" s="21"/>
      <c r="Q55" s="21"/>
    </row>
    <row r="56" spans="1:18" ht="15.5" x14ac:dyDescent="0.35">
      <c r="A56" s="109" t="s">
        <v>59</v>
      </c>
      <c r="B56" s="30"/>
      <c r="C56" s="30"/>
      <c r="D56" s="30"/>
      <c r="E56" s="30"/>
      <c r="F56" s="30"/>
      <c r="G56" s="30"/>
      <c r="H56" s="30"/>
      <c r="I56" s="21"/>
      <c r="J56" s="21"/>
      <c r="K56" s="21"/>
      <c r="L56" s="21"/>
      <c r="M56" s="21"/>
      <c r="N56" s="21"/>
      <c r="O56" s="21"/>
      <c r="P56" s="21"/>
      <c r="Q56" s="21"/>
    </row>
    <row r="57" spans="1:18" x14ac:dyDescent="0.35">
      <c r="H57" s="21"/>
      <c r="I57" s="21"/>
      <c r="J57" s="21"/>
      <c r="K57" s="21"/>
      <c r="L57" s="21"/>
      <c r="M57" s="21"/>
      <c r="N57" s="21"/>
      <c r="O57" s="21"/>
      <c r="P57" s="21"/>
      <c r="Q57" s="21"/>
    </row>
    <row r="58" spans="1:18" x14ac:dyDescent="0.35">
      <c r="A58" s="39"/>
      <c r="B58" s="45" t="s">
        <v>9</v>
      </c>
      <c r="C58" s="45" t="s">
        <v>10</v>
      </c>
      <c r="D58" s="45" t="s">
        <v>11</v>
      </c>
      <c r="E58" s="64" t="s">
        <v>15</v>
      </c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</row>
    <row r="59" spans="1:18" x14ac:dyDescent="0.35">
      <c r="A59" s="39" t="s">
        <v>6</v>
      </c>
      <c r="B59" s="24">
        <v>1</v>
      </c>
      <c r="C59" s="33">
        <v>3</v>
      </c>
      <c r="D59" s="34">
        <f>1/3</f>
        <v>0.33333333333333331</v>
      </c>
      <c r="E59" s="40">
        <f t="array" ref="E59:E63">AHPmat_Algebra(B59:D61)</f>
        <v>0.24263692173072057</v>
      </c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</row>
    <row r="60" spans="1:18" x14ac:dyDescent="0.35">
      <c r="A60" s="39" t="s">
        <v>7</v>
      </c>
      <c r="B60" s="26">
        <f>1/C59</f>
        <v>0.33333333333333331</v>
      </c>
      <c r="C60" s="24">
        <v>1</v>
      </c>
      <c r="D60" s="34">
        <f>1/7</f>
        <v>0.14285714285714285</v>
      </c>
      <c r="E60" s="40">
        <v>8.7946208818644164E-2</v>
      </c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</row>
    <row r="61" spans="1:18" x14ac:dyDescent="0.35">
      <c r="A61" s="39" t="s">
        <v>8</v>
      </c>
      <c r="B61" s="24">
        <f>1/D59</f>
        <v>3</v>
      </c>
      <c r="C61" s="24">
        <f>1/D60</f>
        <v>7</v>
      </c>
      <c r="D61" s="24">
        <v>1</v>
      </c>
      <c r="E61" s="40">
        <v>0.66941686945063528</v>
      </c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</row>
    <row r="62" spans="1:18" x14ac:dyDescent="0.35">
      <c r="A62" s="21"/>
      <c r="B62" s="21"/>
      <c r="C62" s="21"/>
      <c r="D62" s="112" t="s">
        <v>52</v>
      </c>
      <c r="E62" s="119">
        <v>3.0070217651373241</v>
      </c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</row>
    <row r="63" spans="1:18" x14ac:dyDescent="0.35">
      <c r="A63" s="21"/>
      <c r="B63" s="21"/>
      <c r="C63" s="21"/>
      <c r="D63" s="113" t="s">
        <v>53</v>
      </c>
      <c r="E63" s="119">
        <v>6.0532458080380259E-3</v>
      </c>
      <c r="F63" s="114" t="str">
        <f>IF(E63&lt;0.1, "&lt; 0.1", "&gt; 0.1")</f>
        <v>&lt; 0.1</v>
      </c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</row>
    <row r="64" spans="1:18" x14ac:dyDescent="0.35">
      <c r="A64" s="21"/>
      <c r="B64" s="21"/>
      <c r="C64" s="21"/>
      <c r="D64" s="21"/>
      <c r="E64" s="21"/>
      <c r="F64" s="28"/>
      <c r="G64" s="27"/>
      <c r="H64" s="21"/>
      <c r="I64" s="21"/>
      <c r="J64" s="21"/>
      <c r="K64" s="21"/>
      <c r="L64" s="21"/>
      <c r="M64" s="21"/>
      <c r="N64" s="21"/>
      <c r="O64" s="21"/>
      <c r="P64" s="21"/>
      <c r="Q64" s="21"/>
    </row>
    <row r="65" spans="1:18" x14ac:dyDescent="0.35">
      <c r="A65" s="21"/>
      <c r="B65" s="21"/>
      <c r="C65" s="21"/>
      <c r="D65" s="21"/>
      <c r="E65" s="21"/>
      <c r="F65" s="25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</row>
    <row r="66" spans="1:18" ht="15.5" x14ac:dyDescent="0.35">
      <c r="A66" s="109" t="s">
        <v>56</v>
      </c>
      <c r="B66" s="30"/>
      <c r="C66" s="30"/>
      <c r="D66" s="30"/>
      <c r="E66" s="30"/>
      <c r="F66" s="30"/>
      <c r="G66" s="30"/>
      <c r="H66" s="30"/>
      <c r="I66" s="21"/>
      <c r="J66" s="21"/>
      <c r="K66" s="21"/>
      <c r="L66" s="21"/>
      <c r="M66" s="21"/>
      <c r="N66" s="21"/>
      <c r="O66" s="21"/>
      <c r="P66" s="21"/>
      <c r="Q66" s="21"/>
    </row>
    <row r="67" spans="1:18" x14ac:dyDescent="0.35">
      <c r="A67" s="21"/>
      <c r="B67" s="21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</row>
    <row r="68" spans="1:18" x14ac:dyDescent="0.35">
      <c r="A68" s="39"/>
      <c r="B68" s="45" t="s">
        <v>9</v>
      </c>
      <c r="C68" s="45" t="s">
        <v>10</v>
      </c>
      <c r="D68" s="45" t="s">
        <v>11</v>
      </c>
      <c r="E68" s="64" t="s">
        <v>15</v>
      </c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</row>
    <row r="69" spans="1:18" x14ac:dyDescent="0.35">
      <c r="A69" s="39" t="s">
        <v>6</v>
      </c>
      <c r="B69" s="24">
        <v>1</v>
      </c>
      <c r="C69" s="34">
        <f>1/3</f>
        <v>0.33333333333333331</v>
      </c>
      <c r="D69" s="33">
        <v>5</v>
      </c>
      <c r="E69" s="40">
        <f t="array" ref="E69:E73">AHPmat_Algebra(B69:D71)</f>
        <v>0.2789545654864945</v>
      </c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1"/>
    </row>
    <row r="70" spans="1:18" x14ac:dyDescent="0.35">
      <c r="A70" s="39" t="s">
        <v>7</v>
      </c>
      <c r="B70" s="24">
        <f>1/C69</f>
        <v>3</v>
      </c>
      <c r="C70" s="24">
        <v>1</v>
      </c>
      <c r="D70" s="33">
        <v>7</v>
      </c>
      <c r="E70" s="40">
        <v>0.64911800463079716</v>
      </c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</row>
    <row r="71" spans="1:18" x14ac:dyDescent="0.35">
      <c r="A71" s="39" t="s">
        <v>8</v>
      </c>
      <c r="B71" s="26">
        <f>1/D69</f>
        <v>0.2</v>
      </c>
      <c r="C71" s="26">
        <f>1/D70</f>
        <v>0.14285714285714285</v>
      </c>
      <c r="D71" s="24">
        <v>1</v>
      </c>
      <c r="E71" s="40">
        <v>7.1927429882708352E-2</v>
      </c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</row>
    <row r="72" spans="1:18" x14ac:dyDescent="0.35">
      <c r="A72" s="21"/>
      <c r="B72" s="21"/>
      <c r="C72" s="21"/>
      <c r="D72" s="112" t="s">
        <v>52</v>
      </c>
      <c r="E72" s="119">
        <v>3.0648875798797235</v>
      </c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</row>
    <row r="73" spans="1:18" x14ac:dyDescent="0.35">
      <c r="A73" s="21"/>
      <c r="B73" s="21"/>
      <c r="C73" s="21"/>
      <c r="D73" s="113" t="s">
        <v>53</v>
      </c>
      <c r="E73" s="119">
        <v>5.59375688618306E-2</v>
      </c>
      <c r="F73" s="114" t="str">
        <f>IF(E73&lt;0.1, "&lt; 0.1", "&gt; 0.1")</f>
        <v>&lt; 0.1</v>
      </c>
      <c r="G73" s="27"/>
      <c r="H73" s="21"/>
      <c r="I73" s="21"/>
      <c r="J73" s="21"/>
      <c r="K73" s="21"/>
      <c r="L73" s="21"/>
      <c r="M73" s="21"/>
      <c r="N73" s="21"/>
      <c r="O73" s="21"/>
      <c r="P73" s="21"/>
      <c r="Q73" s="21"/>
    </row>
    <row r="74" spans="1:18" x14ac:dyDescent="0.35">
      <c r="A74" s="21"/>
      <c r="B74" s="21"/>
      <c r="C74" s="21"/>
      <c r="D74" s="21"/>
      <c r="E74" s="21"/>
      <c r="F74" s="28"/>
      <c r="G74" s="27"/>
      <c r="H74" s="21"/>
      <c r="I74" s="21"/>
      <c r="J74" s="21"/>
      <c r="K74" s="21"/>
      <c r="L74" s="21"/>
      <c r="M74" s="21"/>
      <c r="N74" s="21"/>
      <c r="O74" s="21"/>
      <c r="P74" s="21"/>
      <c r="Q74" s="21"/>
    </row>
    <row r="75" spans="1:18" x14ac:dyDescent="0.35">
      <c r="A75" s="21"/>
      <c r="B75" s="21"/>
      <c r="C75" s="21"/>
      <c r="D75" s="21"/>
      <c r="E75" s="21"/>
      <c r="F75" s="25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</row>
    <row r="76" spans="1:18" ht="15.5" x14ac:dyDescent="0.35">
      <c r="A76" s="109" t="s">
        <v>57</v>
      </c>
      <c r="B76" s="30"/>
      <c r="C76" s="30"/>
      <c r="D76" s="30"/>
      <c r="E76" s="30"/>
      <c r="F76" s="30"/>
      <c r="G76" s="30"/>
      <c r="H76" s="30"/>
      <c r="I76" s="21"/>
      <c r="J76" s="21"/>
      <c r="K76" s="21"/>
      <c r="L76" s="21"/>
      <c r="M76" s="21"/>
      <c r="N76" s="21"/>
      <c r="O76" s="21"/>
      <c r="P76" s="21"/>
      <c r="Q76" s="21"/>
    </row>
    <row r="77" spans="1:18" x14ac:dyDescent="0.35">
      <c r="A77" s="21"/>
      <c r="B77" s="21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</row>
    <row r="78" spans="1:18" x14ac:dyDescent="0.35">
      <c r="A78" s="39"/>
      <c r="B78" s="45" t="s">
        <v>9</v>
      </c>
      <c r="C78" s="45" t="s">
        <v>10</v>
      </c>
      <c r="D78" s="45" t="s">
        <v>11</v>
      </c>
      <c r="E78" s="64" t="s">
        <v>15</v>
      </c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</row>
    <row r="79" spans="1:18" x14ac:dyDescent="0.35">
      <c r="A79" s="39" t="s">
        <v>6</v>
      </c>
      <c r="B79" s="24">
        <v>1</v>
      </c>
      <c r="C79" s="33">
        <v>1</v>
      </c>
      <c r="D79" s="33">
        <v>7</v>
      </c>
      <c r="E79" s="40">
        <f t="array" ref="E79:E83">AHPmat_Algebra(B79:D81)</f>
        <v>0.4666666666664403</v>
      </c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</row>
    <row r="80" spans="1:18" x14ac:dyDescent="0.35">
      <c r="A80" s="39" t="s">
        <v>7</v>
      </c>
      <c r="B80" s="24">
        <f>1/C79</f>
        <v>1</v>
      </c>
      <c r="C80" s="24">
        <v>1</v>
      </c>
      <c r="D80" s="33">
        <v>7</v>
      </c>
      <c r="E80" s="40">
        <v>0.4666666666664403</v>
      </c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</row>
    <row r="81" spans="1:18" x14ac:dyDescent="0.35">
      <c r="A81" s="39" t="s">
        <v>8</v>
      </c>
      <c r="B81" s="26">
        <f>1/D79</f>
        <v>0.14285714285714285</v>
      </c>
      <c r="C81" s="26">
        <f>1/D80</f>
        <v>0.14285714285714285</v>
      </c>
      <c r="D81" s="24">
        <v>1</v>
      </c>
      <c r="E81" s="40">
        <v>6.6666666667119387E-2</v>
      </c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</row>
    <row r="82" spans="1:18" x14ac:dyDescent="0.35">
      <c r="A82" s="21"/>
      <c r="B82" s="21"/>
      <c r="C82" s="21"/>
      <c r="D82" s="112" t="s">
        <v>52</v>
      </c>
      <c r="E82" s="119">
        <v>3.000000000007276</v>
      </c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</row>
    <row r="83" spans="1:18" x14ac:dyDescent="0.35">
      <c r="A83" s="21"/>
      <c r="B83" s="21"/>
      <c r="C83" s="21"/>
      <c r="D83" s="113" t="s">
        <v>53</v>
      </c>
      <c r="E83" s="119">
        <v>6.2723772536064021E-12</v>
      </c>
      <c r="F83" s="114" t="str">
        <f>IF(E83&lt;0.1, "&lt; 0.1", "&gt; 0.1")</f>
        <v>&lt; 0.1</v>
      </c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</row>
    <row r="84" spans="1:18" x14ac:dyDescent="0.35">
      <c r="A84" s="21"/>
      <c r="B84" s="21"/>
      <c r="C84" s="21"/>
      <c r="D84" s="21"/>
      <c r="E84" s="21"/>
      <c r="F84" s="28"/>
      <c r="G84" s="27"/>
      <c r="H84" s="21"/>
      <c r="I84" s="21"/>
      <c r="J84" s="21"/>
      <c r="K84" s="21"/>
      <c r="L84" s="21"/>
      <c r="M84" s="21"/>
      <c r="N84" s="21"/>
      <c r="O84" s="21"/>
      <c r="P84" s="21"/>
      <c r="Q84" s="21"/>
    </row>
    <row r="85" spans="1:18" x14ac:dyDescent="0.35">
      <c r="A85" s="21"/>
      <c r="B85" s="21"/>
      <c r="C85" s="21"/>
      <c r="D85" s="21"/>
      <c r="E85" s="21"/>
      <c r="F85" s="25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</row>
    <row r="86" spans="1:18" ht="15.5" x14ac:dyDescent="0.35">
      <c r="A86" s="109" t="s">
        <v>58</v>
      </c>
      <c r="B86" s="30"/>
      <c r="C86" s="30"/>
      <c r="D86" s="30"/>
      <c r="E86" s="30"/>
      <c r="F86" s="30"/>
      <c r="G86" s="30"/>
      <c r="H86" s="30"/>
      <c r="I86" s="21"/>
      <c r="J86" s="21"/>
      <c r="K86" s="21"/>
      <c r="L86" s="21"/>
      <c r="M86" s="21"/>
      <c r="N86" s="21"/>
      <c r="O86" s="21"/>
      <c r="P86" s="21"/>
      <c r="Q86" s="21"/>
    </row>
    <row r="87" spans="1:18" x14ac:dyDescent="0.35">
      <c r="A87" s="21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</row>
    <row r="88" spans="1:18" x14ac:dyDescent="0.35">
      <c r="A88" s="39"/>
      <c r="B88" s="45" t="s">
        <v>9</v>
      </c>
      <c r="C88" s="45" t="s">
        <v>10</v>
      </c>
      <c r="D88" s="45" t="s">
        <v>11</v>
      </c>
      <c r="E88" s="64" t="s">
        <v>15</v>
      </c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</row>
    <row r="89" spans="1:18" x14ac:dyDescent="0.35">
      <c r="A89" s="39" t="s">
        <v>6</v>
      </c>
      <c r="B89" s="24">
        <v>1</v>
      </c>
      <c r="C89" s="33">
        <v>7</v>
      </c>
      <c r="D89" s="33">
        <v>9</v>
      </c>
      <c r="E89" s="40">
        <f t="array" ref="E89:E93">AHPmat_Algebra(B89:D91)</f>
        <v>0.79275736316625756</v>
      </c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</row>
    <row r="90" spans="1:18" x14ac:dyDescent="0.35">
      <c r="A90" s="39" t="s">
        <v>7</v>
      </c>
      <c r="B90" s="26">
        <f>1/C89</f>
        <v>0.14285714285714285</v>
      </c>
      <c r="C90" s="24">
        <v>1</v>
      </c>
      <c r="D90" s="33">
        <v>2</v>
      </c>
      <c r="E90" s="40">
        <v>0.13122122463323266</v>
      </c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</row>
    <row r="91" spans="1:18" x14ac:dyDescent="0.35">
      <c r="A91" s="39" t="s">
        <v>8</v>
      </c>
      <c r="B91" s="26">
        <f>1/D89</f>
        <v>0.1111111111111111</v>
      </c>
      <c r="C91" s="26">
        <f>1/D90</f>
        <v>0.5</v>
      </c>
      <c r="D91" s="24">
        <v>1</v>
      </c>
      <c r="E91" s="40">
        <v>7.6021412200509883E-2</v>
      </c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</row>
    <row r="92" spans="1:18" x14ac:dyDescent="0.35">
      <c r="A92" s="21"/>
      <c r="B92" s="21"/>
      <c r="C92" s="21"/>
      <c r="D92" s="112" t="s">
        <v>52</v>
      </c>
      <c r="E92" s="119">
        <v>3.0217299223004375</v>
      </c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</row>
    <row r="93" spans="1:18" x14ac:dyDescent="0.35">
      <c r="A93" s="21"/>
      <c r="B93" s="21"/>
      <c r="C93" s="21"/>
      <c r="D93" s="113" t="s">
        <v>53</v>
      </c>
      <c r="E93" s="119">
        <v>1.8732691638308163E-2</v>
      </c>
      <c r="F93" s="114" t="str">
        <f>IF(E93&lt;0.1, "&lt; 0.1", "&gt; 0.1")</f>
        <v>&lt; 0.1</v>
      </c>
      <c r="G93" s="27"/>
      <c r="H93" s="21"/>
      <c r="I93" s="21"/>
      <c r="J93" s="21"/>
      <c r="K93" s="21"/>
      <c r="L93" s="21"/>
      <c r="M93" s="21"/>
      <c r="N93" s="21"/>
      <c r="O93" s="21"/>
      <c r="P93" s="21"/>
      <c r="Q93" s="21"/>
    </row>
    <row r="94" spans="1:18" x14ac:dyDescent="0.35">
      <c r="A94" s="21"/>
      <c r="B94" s="21"/>
      <c r="C94" s="21"/>
      <c r="D94" s="21"/>
      <c r="E94" s="21"/>
      <c r="F94" s="28"/>
      <c r="G94" s="27"/>
      <c r="H94" s="21"/>
      <c r="I94" s="21"/>
      <c r="J94" s="21"/>
      <c r="K94" s="21"/>
      <c r="L94" s="21"/>
      <c r="M94" s="21"/>
      <c r="N94" s="21"/>
      <c r="O94" s="21"/>
      <c r="P94" s="21"/>
      <c r="Q94" s="21"/>
    </row>
    <row r="95" spans="1:18" x14ac:dyDescent="0.35">
      <c r="A95" s="21"/>
      <c r="B95" s="21"/>
      <c r="C95" s="32"/>
      <c r="D95" s="28"/>
      <c r="E95" s="21"/>
      <c r="F95" s="28"/>
      <c r="G95" s="27"/>
      <c r="H95" s="21"/>
      <c r="I95" s="21"/>
      <c r="J95" s="21"/>
      <c r="K95" s="21"/>
      <c r="L95" s="21"/>
      <c r="M95" s="21"/>
      <c r="N95" s="21"/>
      <c r="O95" s="21"/>
      <c r="P95" s="21"/>
      <c r="Q95" s="21"/>
    </row>
    <row r="96" spans="1:18" x14ac:dyDescent="0.35">
      <c r="A96" s="21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</row>
    <row r="97" spans="1:17" ht="15.5" x14ac:dyDescent="0.35">
      <c r="A97" s="111" t="s">
        <v>51</v>
      </c>
      <c r="B97" s="35"/>
      <c r="C97" s="35"/>
      <c r="D97" s="35"/>
      <c r="E97" s="35"/>
      <c r="F97" s="35"/>
      <c r="G97" s="35"/>
      <c r="H97" s="35"/>
      <c r="I97" s="35"/>
      <c r="J97" s="21"/>
      <c r="K97" s="21"/>
      <c r="L97" s="21"/>
      <c r="M97" s="21"/>
      <c r="N97" s="21"/>
      <c r="O97" s="21"/>
      <c r="P97" s="21"/>
      <c r="Q97" s="21"/>
    </row>
    <row r="98" spans="1:17" ht="24" customHeight="1" x14ac:dyDescent="0.35">
      <c r="A98" s="69"/>
      <c r="B98" s="66" t="s">
        <v>0</v>
      </c>
      <c r="C98" s="65" t="s">
        <v>37</v>
      </c>
      <c r="D98" s="65" t="s">
        <v>30</v>
      </c>
      <c r="E98" s="65" t="s">
        <v>2</v>
      </c>
      <c r="F98" s="65" t="s">
        <v>3</v>
      </c>
      <c r="G98" s="65" t="s">
        <v>4</v>
      </c>
      <c r="H98" s="65" t="s">
        <v>5</v>
      </c>
      <c r="I98" s="71" t="s">
        <v>31</v>
      </c>
      <c r="J98" s="21"/>
      <c r="K98" s="21"/>
      <c r="L98" s="21"/>
      <c r="M98" s="21"/>
      <c r="N98" s="21"/>
      <c r="O98" s="21"/>
      <c r="P98" s="21"/>
      <c r="Q98" s="21"/>
    </row>
    <row r="99" spans="1:17" x14ac:dyDescent="0.35">
      <c r="A99" s="67"/>
      <c r="B99" s="115">
        <f>H7</f>
        <v>0.15840818878103241</v>
      </c>
      <c r="C99" s="116">
        <f>H8*D20</f>
        <v>4.7311811480803184E-2</v>
      </c>
      <c r="D99" s="116">
        <f>H8*D21</f>
        <v>0.14193543444654044</v>
      </c>
      <c r="E99" s="116">
        <f>H9</f>
        <v>0.19799736188507144</v>
      </c>
      <c r="F99" s="116">
        <f>H10</f>
        <v>4.8310388778144399E-2</v>
      </c>
      <c r="G99" s="116">
        <f>H11</f>
        <v>0.15024467618325962</v>
      </c>
      <c r="H99" s="116">
        <f>H12</f>
        <v>0.25579213844514831</v>
      </c>
      <c r="I99" s="70">
        <f>SUM(B99:H99)</f>
        <v>0.99999999999999978</v>
      </c>
      <c r="J99" s="21"/>
      <c r="K99" s="21"/>
      <c r="L99" s="21"/>
      <c r="M99" s="21"/>
      <c r="N99" s="21"/>
      <c r="O99" s="21"/>
      <c r="P99" s="21"/>
      <c r="Q99" s="21"/>
    </row>
    <row r="100" spans="1:17" x14ac:dyDescent="0.35">
      <c r="A100" s="67" t="s">
        <v>6</v>
      </c>
      <c r="B100" s="117">
        <f>E29</f>
        <v>0.13649980298885034</v>
      </c>
      <c r="C100" s="117">
        <f>E39</f>
        <v>8.7946208818644123E-2</v>
      </c>
      <c r="D100" s="117">
        <f>E49</f>
        <v>0.64832901382183794</v>
      </c>
      <c r="E100" s="117">
        <f>E59</f>
        <v>0.24263692173072057</v>
      </c>
      <c r="F100" s="117">
        <f>E69</f>
        <v>0.2789545654864945</v>
      </c>
      <c r="G100" s="117">
        <f>E79</f>
        <v>0.4666666666664403</v>
      </c>
      <c r="H100" s="117">
        <f>E89</f>
        <v>0.79275736316625756</v>
      </c>
      <c r="I100" s="118">
        <f t="array" ref="I100:I102">MMULT(B100:H102, TRANSPOSE( B99:H99))</f>
        <v>0.45221759857355293</v>
      </c>
      <c r="J100" s="21"/>
      <c r="K100" s="21"/>
      <c r="L100" s="21"/>
      <c r="M100" s="21"/>
      <c r="N100" s="21"/>
    </row>
    <row r="101" spans="1:17" x14ac:dyDescent="0.35">
      <c r="A101" s="39" t="s">
        <v>7</v>
      </c>
      <c r="B101" s="117">
        <f>E30</f>
        <v>0.62501307434825804</v>
      </c>
      <c r="C101" s="117">
        <f>E40</f>
        <v>0.24263692173072052</v>
      </c>
      <c r="D101" s="117">
        <f>E50</f>
        <v>0.22965079406253855</v>
      </c>
      <c r="E101" s="117">
        <f>E60</f>
        <v>8.7946208818644164E-2</v>
      </c>
      <c r="F101" s="117">
        <f>E70</f>
        <v>0.64911800463079716</v>
      </c>
      <c r="G101" s="117">
        <f>E80</f>
        <v>0.4666666666664403</v>
      </c>
      <c r="H101" s="117">
        <f>E90</f>
        <v>0.13122122463323266</v>
      </c>
      <c r="I101" s="118">
        <v>0.29553416697507645</v>
      </c>
      <c r="J101" s="21"/>
      <c r="K101" s="21"/>
      <c r="L101" s="21"/>
      <c r="M101" s="21"/>
      <c r="N101" s="21"/>
    </row>
    <row r="102" spans="1:17" x14ac:dyDescent="0.35">
      <c r="A102" s="39" t="s">
        <v>8</v>
      </c>
      <c r="B102" s="117">
        <f>E31</f>
        <v>0.23848712266289157</v>
      </c>
      <c r="C102" s="117">
        <f>E41</f>
        <v>0.66941686945063539</v>
      </c>
      <c r="D102" s="117">
        <f>E51</f>
        <v>0.12202019211562341</v>
      </c>
      <c r="E102" s="117">
        <f>E61</f>
        <v>0.66941686945063528</v>
      </c>
      <c r="F102" s="117">
        <f>E71</f>
        <v>7.1927429882708352E-2</v>
      </c>
      <c r="G102" s="117">
        <f>E81</f>
        <v>6.6666666667119387E-2</v>
      </c>
      <c r="H102" s="117">
        <f>E91</f>
        <v>7.6021412200509883E-2</v>
      </c>
      <c r="I102" s="118">
        <v>0.2522482344513704</v>
      </c>
      <c r="J102" s="21"/>
      <c r="K102" s="21"/>
      <c r="L102" s="21"/>
      <c r="M102" s="21"/>
      <c r="N102" s="21"/>
    </row>
    <row r="103" spans="1:17" x14ac:dyDescent="0.35">
      <c r="A103" s="22" t="s">
        <v>23</v>
      </c>
      <c r="B103" s="107">
        <f>SUM(B100:B102)</f>
        <v>1</v>
      </c>
      <c r="C103" s="107">
        <f t="shared" ref="C103:I103" si="0">SUM(C100:C102)</f>
        <v>1</v>
      </c>
      <c r="D103" s="107">
        <f t="shared" si="0"/>
        <v>0.99999999999999989</v>
      </c>
      <c r="E103" s="107">
        <f t="shared" si="0"/>
        <v>1</v>
      </c>
      <c r="F103" s="107">
        <f t="shared" si="0"/>
        <v>1</v>
      </c>
      <c r="G103" s="107">
        <f t="shared" si="0"/>
        <v>1</v>
      </c>
      <c r="H103" s="107">
        <f t="shared" si="0"/>
        <v>1</v>
      </c>
      <c r="I103" s="107">
        <f t="shared" si="0"/>
        <v>0.99999999999999978</v>
      </c>
      <c r="J103" s="21"/>
      <c r="K103" s="21"/>
      <c r="L103" s="21"/>
      <c r="M103" s="21"/>
      <c r="N103" s="21"/>
      <c r="O103" s="21"/>
      <c r="P103" s="21"/>
      <c r="Q103" s="21"/>
    </row>
    <row r="104" spans="1:17" x14ac:dyDescent="0.35">
      <c r="A104" s="21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</row>
    <row r="105" spans="1:17" x14ac:dyDescent="0.35">
      <c r="A105" s="21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</row>
    <row r="106" spans="1:17" x14ac:dyDescent="0.35">
      <c r="A106" s="21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</row>
    <row r="107" spans="1:17" x14ac:dyDescent="0.35">
      <c r="A107" s="21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</row>
    <row r="108" spans="1:17" x14ac:dyDescent="0.35">
      <c r="A108" s="21"/>
      <c r="B108" s="21"/>
      <c r="C108" s="21"/>
      <c r="D108" s="21"/>
      <c r="E108" s="21"/>
      <c r="F108" s="21"/>
      <c r="G108" s="21"/>
      <c r="H108" s="21"/>
      <c r="I108" s="21"/>
      <c r="J108" s="21"/>
      <c r="K108" s="21"/>
    </row>
    <row r="109" spans="1:17" x14ac:dyDescent="0.35">
      <c r="A109" s="21"/>
      <c r="B109" s="21"/>
      <c r="C109" s="21"/>
      <c r="D109" s="21"/>
      <c r="E109" s="21"/>
      <c r="F109" s="21"/>
      <c r="G109" s="21"/>
      <c r="H109" s="21"/>
      <c r="I109" s="21"/>
      <c r="J109" s="21"/>
      <c r="K109" s="21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48"/>
  <sheetViews>
    <sheetView zoomScaleNormal="100" workbookViewId="0">
      <selection sqref="A1:H2"/>
    </sheetView>
  </sheetViews>
  <sheetFormatPr defaultRowHeight="14.5" x14ac:dyDescent="0.35"/>
  <cols>
    <col min="1" max="1" width="4.7265625" customWidth="1"/>
    <col min="2" max="2" width="15.26953125" customWidth="1"/>
    <col min="3" max="3" width="12.81640625" customWidth="1"/>
    <col min="4" max="4" width="15.1796875" customWidth="1"/>
    <col min="5" max="5" width="13.7265625" customWidth="1"/>
    <col min="6" max="6" width="14.54296875" customWidth="1"/>
    <col min="7" max="7" width="13.1796875" customWidth="1"/>
    <col min="8" max="8" width="15.7265625" customWidth="1"/>
    <col min="9" max="9" width="13.453125" customWidth="1"/>
  </cols>
  <sheetData>
    <row r="1" spans="1:9" ht="18.5" x14ac:dyDescent="0.45">
      <c r="A1" s="128" t="s">
        <v>54</v>
      </c>
      <c r="B1" s="130"/>
      <c r="C1" s="130"/>
      <c r="D1" s="130"/>
      <c r="E1" s="130"/>
      <c r="F1" s="130"/>
      <c r="G1" s="130"/>
      <c r="H1" s="131"/>
      <c r="I1" s="50"/>
    </row>
    <row r="2" spans="1:9" ht="18" x14ac:dyDescent="0.4">
      <c r="A2" s="134" t="s">
        <v>50</v>
      </c>
      <c r="B2" s="134"/>
      <c r="C2" s="134"/>
      <c r="D2" s="134"/>
      <c r="E2" s="134"/>
      <c r="F2" s="134"/>
      <c r="G2" s="134"/>
      <c r="H2" s="134"/>
      <c r="I2" s="50"/>
    </row>
    <row r="3" spans="1:9" x14ac:dyDescent="0.35">
      <c r="A3" s="21"/>
      <c r="B3" s="21"/>
      <c r="C3" s="21"/>
      <c r="D3" s="21"/>
      <c r="E3" s="21"/>
      <c r="F3" s="21"/>
    </row>
    <row r="4" spans="1:9" ht="32.25" customHeight="1" x14ac:dyDescent="0.35">
      <c r="A4" s="74"/>
      <c r="B4" s="99" t="s">
        <v>12</v>
      </c>
      <c r="C4" s="99" t="s">
        <v>31</v>
      </c>
      <c r="D4" s="21"/>
      <c r="E4" s="21"/>
      <c r="F4" s="50"/>
    </row>
    <row r="5" spans="1:9" ht="19.5" customHeight="1" x14ac:dyDescent="0.35">
      <c r="A5" s="44">
        <v>1</v>
      </c>
      <c r="B5" s="108" t="s">
        <v>6</v>
      </c>
      <c r="C5" s="102">
        <f>$F$11*H11+$F$16*H16+$F$20*H20+$F$24*H24+$F$28*H28+$F$32*H32+$F$36*H36</f>
        <v>0.45221759857355293</v>
      </c>
      <c r="D5" s="101" t="str">
        <f>IF(C5=MAX($C$5:$C$7), "&lt; - Best Alternative", "- ")</f>
        <v>&lt; - Best Alternative</v>
      </c>
      <c r="E5" s="21"/>
      <c r="F5" s="50"/>
    </row>
    <row r="6" spans="1:9" ht="20.25" customHeight="1" x14ac:dyDescent="0.35">
      <c r="A6" s="44">
        <v>2</v>
      </c>
      <c r="B6" s="108" t="s">
        <v>7</v>
      </c>
      <c r="C6" s="102">
        <f t="shared" ref="C6" si="0">$F$11*H12+$F$16*H17+$F$20*H21+$F$24*H25+$F$28*H29+$F$32*H33+$F$36*H37</f>
        <v>0.29553416697507645</v>
      </c>
      <c r="D6" s="100" t="str">
        <f t="shared" ref="D6:D7" si="1">IF(C6=MAX($C$5:$C$7), "&lt; - Best Alternative", "- ")</f>
        <v xml:space="preserve">- </v>
      </c>
      <c r="E6" s="21"/>
      <c r="F6" s="50"/>
    </row>
    <row r="7" spans="1:9" ht="21" customHeight="1" x14ac:dyDescent="0.35">
      <c r="A7" s="44">
        <v>3</v>
      </c>
      <c r="B7" s="108" t="s">
        <v>8</v>
      </c>
      <c r="C7" s="102">
        <f>$F$11*H13+$F$16*H18+$F$20*H22+$F$24*H26+$F$28*H30+$F$32*H34+$F$36*H38</f>
        <v>0.2522482344513704</v>
      </c>
      <c r="D7" s="100" t="str">
        <f t="shared" si="1"/>
        <v xml:space="preserve">- </v>
      </c>
      <c r="E7" s="21"/>
      <c r="F7" s="21"/>
      <c r="G7" s="50"/>
    </row>
    <row r="8" spans="1:9" x14ac:dyDescent="0.35">
      <c r="A8" s="21"/>
      <c r="B8" s="21"/>
      <c r="C8" s="21"/>
      <c r="D8" s="21"/>
      <c r="E8" s="21"/>
      <c r="F8" s="21"/>
      <c r="G8" s="50"/>
    </row>
    <row r="9" spans="1:9" x14ac:dyDescent="0.35">
      <c r="A9" s="21"/>
      <c r="B9" s="21"/>
      <c r="C9" s="21"/>
      <c r="D9" s="21"/>
      <c r="E9" s="21"/>
      <c r="F9" s="21"/>
      <c r="G9" s="21"/>
    </row>
    <row r="10" spans="1:9" ht="32.25" customHeight="1" x14ac:dyDescent="0.35">
      <c r="A10" s="46"/>
      <c r="B10" s="53" t="s">
        <v>24</v>
      </c>
      <c r="C10" s="53" t="s">
        <v>25</v>
      </c>
      <c r="D10" s="53" t="s">
        <v>20</v>
      </c>
      <c r="E10" s="53" t="s">
        <v>26</v>
      </c>
      <c r="F10" s="53" t="s">
        <v>27</v>
      </c>
      <c r="G10" s="53" t="s">
        <v>12</v>
      </c>
      <c r="H10" s="53" t="s">
        <v>28</v>
      </c>
      <c r="I10" s="36" t="s">
        <v>38</v>
      </c>
    </row>
    <row r="11" spans="1:9" x14ac:dyDescent="0.35">
      <c r="A11" s="45">
        <v>1</v>
      </c>
      <c r="B11" s="72" t="s">
        <v>0</v>
      </c>
      <c r="C11" s="92">
        <f>'Base Model (UDF Algebra)'!H7</f>
        <v>0.15840818878103241</v>
      </c>
      <c r="D11" s="38"/>
      <c r="E11" s="52"/>
      <c r="F11" s="91">
        <f>C11</f>
        <v>0.15840818878103241</v>
      </c>
      <c r="G11" s="45" t="s">
        <v>6</v>
      </c>
      <c r="H11" s="40">
        <f>'Base Model (UDF Algebra)'!E29</f>
        <v>0.13649980298885034</v>
      </c>
      <c r="I11" s="21"/>
    </row>
    <row r="12" spans="1:9" x14ac:dyDescent="0.35">
      <c r="A12" s="45"/>
      <c r="B12" s="43"/>
      <c r="C12" s="38"/>
      <c r="D12" s="38"/>
      <c r="E12" s="38"/>
      <c r="F12" s="38"/>
      <c r="G12" s="45" t="s">
        <v>7</v>
      </c>
      <c r="H12" s="40">
        <f>'Base Model (UDF Algebra)'!E30</f>
        <v>0.62501307434825804</v>
      </c>
      <c r="I12" s="21"/>
    </row>
    <row r="13" spans="1:9" x14ac:dyDescent="0.35">
      <c r="A13" s="45"/>
      <c r="B13" s="43"/>
      <c r="C13" s="38"/>
      <c r="D13" s="38"/>
      <c r="E13" s="38"/>
      <c r="F13" s="38"/>
      <c r="G13" s="45" t="s">
        <v>8</v>
      </c>
      <c r="H13" s="40">
        <f>'Base Model (UDF Algebra)'!E31</f>
        <v>0.23848712266289157</v>
      </c>
      <c r="I13" s="28">
        <f>SUM(H11:H13)</f>
        <v>1</v>
      </c>
    </row>
    <row r="14" spans="1:9" ht="6.65" customHeight="1" x14ac:dyDescent="0.35">
      <c r="A14" s="24"/>
      <c r="B14" s="23"/>
      <c r="C14" s="47"/>
      <c r="D14" s="47"/>
      <c r="E14" s="47"/>
      <c r="F14" s="47"/>
      <c r="G14" s="22"/>
      <c r="H14" s="47"/>
      <c r="I14" s="21"/>
    </row>
    <row r="15" spans="1:9" x14ac:dyDescent="0.35">
      <c r="A15" s="45">
        <v>2</v>
      </c>
      <c r="B15" s="72" t="s">
        <v>1</v>
      </c>
      <c r="C15" s="92">
        <f>'Base Model (UDF Algebra)'!H8</f>
        <v>0.1892472459273436</v>
      </c>
      <c r="D15" s="38"/>
      <c r="E15" s="38"/>
      <c r="F15" s="38"/>
      <c r="G15" s="45"/>
      <c r="H15" s="38"/>
      <c r="I15" s="21"/>
    </row>
    <row r="16" spans="1:9" x14ac:dyDescent="0.35">
      <c r="A16" s="45"/>
      <c r="B16" s="43"/>
      <c r="C16" s="38"/>
      <c r="D16" s="73" t="s">
        <v>16</v>
      </c>
      <c r="E16" s="92">
        <f>'Base Model (UDF Algebra)'!D20</f>
        <v>0.24999999999454303</v>
      </c>
      <c r="F16" s="91">
        <f>C15*E16</f>
        <v>4.7311811480803184E-2</v>
      </c>
      <c r="G16" s="45" t="s">
        <v>6</v>
      </c>
      <c r="H16" s="40">
        <f>'Base Model (UDF Algebra)'!E39</f>
        <v>8.7946208818644123E-2</v>
      </c>
      <c r="I16" s="21"/>
    </row>
    <row r="17" spans="1:9" x14ac:dyDescent="0.35">
      <c r="A17" s="45"/>
      <c r="B17" s="43"/>
      <c r="C17" s="38"/>
      <c r="D17" s="38"/>
      <c r="E17" s="38"/>
      <c r="F17" s="38"/>
      <c r="G17" s="45" t="s">
        <v>7</v>
      </c>
      <c r="H17" s="40">
        <f>'Base Model (UDF Algebra)'!E40</f>
        <v>0.24263692173072052</v>
      </c>
      <c r="I17" s="21"/>
    </row>
    <row r="18" spans="1:9" x14ac:dyDescent="0.35">
      <c r="A18" s="45"/>
      <c r="B18" s="43"/>
      <c r="C18" s="38"/>
      <c r="D18" s="38"/>
      <c r="E18" s="38"/>
      <c r="F18" s="38"/>
      <c r="G18" s="45" t="s">
        <v>8</v>
      </c>
      <c r="H18" s="40">
        <f>'Base Model (UDF Algebra)'!E41</f>
        <v>0.66941686945063539</v>
      </c>
      <c r="I18" s="28">
        <f>SUM(H16:H18)</f>
        <v>1</v>
      </c>
    </row>
    <row r="19" spans="1:9" x14ac:dyDescent="0.35">
      <c r="A19" s="45"/>
      <c r="B19" s="43"/>
      <c r="C19" s="38"/>
      <c r="D19" s="38"/>
      <c r="E19" s="38"/>
      <c r="F19" s="38"/>
      <c r="G19" s="45"/>
      <c r="H19" s="38"/>
      <c r="I19" s="21"/>
    </row>
    <row r="20" spans="1:9" x14ac:dyDescent="0.35">
      <c r="A20" s="45"/>
      <c r="B20" s="43"/>
      <c r="C20" s="38"/>
      <c r="D20" s="73" t="s">
        <v>17</v>
      </c>
      <c r="E20" s="92">
        <f>'Base Model (UDF Algebra)'!D21</f>
        <v>0.75000000000545708</v>
      </c>
      <c r="F20" s="91">
        <f>C15*E20</f>
        <v>0.14193543444654044</v>
      </c>
      <c r="G20" s="45" t="s">
        <v>6</v>
      </c>
      <c r="H20" s="40">
        <f>'Base Model (UDF Algebra)'!E49</f>
        <v>0.64832901382183794</v>
      </c>
      <c r="I20" s="21"/>
    </row>
    <row r="21" spans="1:9" x14ac:dyDescent="0.35">
      <c r="A21" s="45"/>
      <c r="B21" s="43"/>
      <c r="C21" s="38"/>
      <c r="D21" s="38"/>
      <c r="E21" s="38"/>
      <c r="F21" s="38"/>
      <c r="G21" s="45" t="s">
        <v>7</v>
      </c>
      <c r="H21" s="40">
        <f>'Base Model (UDF Algebra)'!E50</f>
        <v>0.22965079406253855</v>
      </c>
      <c r="I21" s="21"/>
    </row>
    <row r="22" spans="1:9" x14ac:dyDescent="0.35">
      <c r="A22" s="45"/>
      <c r="B22" s="43"/>
      <c r="C22" s="38"/>
      <c r="D22" s="38"/>
      <c r="E22" s="38"/>
      <c r="F22" s="38"/>
      <c r="G22" s="45" t="s">
        <v>8</v>
      </c>
      <c r="H22" s="40">
        <f>'Base Model (UDF Algebra)'!E51</f>
        <v>0.12202019211562341</v>
      </c>
      <c r="I22" s="28">
        <f>SUM(H20:H22)</f>
        <v>0.99999999999999989</v>
      </c>
    </row>
    <row r="23" spans="1:9" ht="9" customHeight="1" x14ac:dyDescent="0.35">
      <c r="A23" s="24"/>
      <c r="B23" s="23"/>
      <c r="C23" s="47"/>
      <c r="D23" s="47"/>
      <c r="E23" s="47"/>
      <c r="F23" s="47"/>
      <c r="G23" s="22"/>
      <c r="H23" s="47"/>
      <c r="I23" s="21"/>
    </row>
    <row r="24" spans="1:9" x14ac:dyDescent="0.35">
      <c r="A24" s="45">
        <v>3</v>
      </c>
      <c r="B24" s="72" t="s">
        <v>2</v>
      </c>
      <c r="C24" s="92">
        <f>'Base Model (UDF Algebra)'!H9</f>
        <v>0.19799736188507144</v>
      </c>
      <c r="D24" s="38"/>
      <c r="E24" s="38"/>
      <c r="F24" s="91">
        <f>C24</f>
        <v>0.19799736188507144</v>
      </c>
      <c r="G24" s="45" t="s">
        <v>6</v>
      </c>
      <c r="H24" s="40">
        <f>'Base Model (UDF Algebra)'!E59</f>
        <v>0.24263692173072057</v>
      </c>
      <c r="I24" s="21"/>
    </row>
    <row r="25" spans="1:9" x14ac:dyDescent="0.35">
      <c r="A25" s="45"/>
      <c r="B25" s="43"/>
      <c r="C25" s="38"/>
      <c r="D25" s="38"/>
      <c r="E25" s="38"/>
      <c r="F25" s="38"/>
      <c r="G25" s="45" t="s">
        <v>7</v>
      </c>
      <c r="H25" s="40">
        <f>'Base Model (UDF Algebra)'!E60</f>
        <v>8.7946208818644164E-2</v>
      </c>
      <c r="I25" s="21"/>
    </row>
    <row r="26" spans="1:9" x14ac:dyDescent="0.35">
      <c r="A26" s="45"/>
      <c r="B26" s="43"/>
      <c r="C26" s="38"/>
      <c r="D26" s="38"/>
      <c r="E26" s="38"/>
      <c r="F26" s="38"/>
      <c r="G26" s="45" t="s">
        <v>8</v>
      </c>
      <c r="H26" s="40">
        <f>'Base Model (UDF Algebra)'!E61</f>
        <v>0.66941686945063528</v>
      </c>
      <c r="I26" s="28">
        <f>SUM(H24:H26)</f>
        <v>1</v>
      </c>
    </row>
    <row r="27" spans="1:9" ht="7.15" customHeight="1" x14ac:dyDescent="0.35">
      <c r="A27" s="24"/>
      <c r="B27" s="23"/>
      <c r="C27" s="47"/>
      <c r="D27" s="47"/>
      <c r="E27" s="47"/>
      <c r="F27" s="47"/>
      <c r="G27" s="22"/>
      <c r="H27" s="47"/>
      <c r="I27" s="21"/>
    </row>
    <row r="28" spans="1:9" x14ac:dyDescent="0.35">
      <c r="A28" s="45">
        <v>4</v>
      </c>
      <c r="B28" s="72" t="s">
        <v>3</v>
      </c>
      <c r="C28" s="92">
        <f>'Base Model (UDF Algebra)'!H10</f>
        <v>4.8310388778144399E-2</v>
      </c>
      <c r="D28" s="38"/>
      <c r="E28" s="38"/>
      <c r="F28" s="91">
        <f>C28</f>
        <v>4.8310388778144399E-2</v>
      </c>
      <c r="G28" s="45" t="s">
        <v>6</v>
      </c>
      <c r="H28" s="40">
        <f>'Base Model (UDF Algebra)'!E69</f>
        <v>0.2789545654864945</v>
      </c>
      <c r="I28" s="21"/>
    </row>
    <row r="29" spans="1:9" x14ac:dyDescent="0.35">
      <c r="A29" s="45"/>
      <c r="B29" s="43"/>
      <c r="C29" s="38"/>
      <c r="D29" s="38"/>
      <c r="E29" s="38"/>
      <c r="F29" s="38"/>
      <c r="G29" s="45" t="s">
        <v>7</v>
      </c>
      <c r="H29" s="40">
        <f>'Base Model (UDF Algebra)'!E70</f>
        <v>0.64911800463079716</v>
      </c>
      <c r="I29" s="21"/>
    </row>
    <row r="30" spans="1:9" x14ac:dyDescent="0.35">
      <c r="A30" s="45"/>
      <c r="B30" s="43"/>
      <c r="C30" s="38"/>
      <c r="D30" s="38"/>
      <c r="E30" s="38"/>
      <c r="F30" s="38"/>
      <c r="G30" s="45" t="s">
        <v>8</v>
      </c>
      <c r="H30" s="40">
        <f>'Base Model (UDF Algebra)'!E71</f>
        <v>7.1927429882708352E-2</v>
      </c>
      <c r="I30" s="28">
        <f>SUM(H28:H30)</f>
        <v>1</v>
      </c>
    </row>
    <row r="31" spans="1:9" ht="7.15" customHeight="1" x14ac:dyDescent="0.35">
      <c r="A31" s="24"/>
      <c r="B31" s="23"/>
      <c r="C31" s="47"/>
      <c r="D31" s="47"/>
      <c r="E31" s="47"/>
      <c r="F31" s="47"/>
      <c r="G31" s="22"/>
      <c r="H31" s="47"/>
      <c r="I31" s="21"/>
    </row>
    <row r="32" spans="1:9" x14ac:dyDescent="0.35">
      <c r="A32" s="45">
        <v>5</v>
      </c>
      <c r="B32" s="72" t="s">
        <v>4</v>
      </c>
      <c r="C32" s="92">
        <f>'Base Model (UDF Algebra)'!H11</f>
        <v>0.15024467618325962</v>
      </c>
      <c r="D32" s="38"/>
      <c r="E32" s="38"/>
      <c r="F32" s="91">
        <f>C32</f>
        <v>0.15024467618325962</v>
      </c>
      <c r="G32" s="45" t="s">
        <v>6</v>
      </c>
      <c r="H32" s="40">
        <f>'Base Model (UDF Algebra)'!E79</f>
        <v>0.4666666666664403</v>
      </c>
      <c r="I32" s="21"/>
    </row>
    <row r="33" spans="1:9" x14ac:dyDescent="0.35">
      <c r="A33" s="45"/>
      <c r="B33" s="43"/>
      <c r="C33" s="38"/>
      <c r="D33" s="38"/>
      <c r="E33" s="38"/>
      <c r="F33" s="38"/>
      <c r="G33" s="45" t="s">
        <v>7</v>
      </c>
      <c r="H33" s="40">
        <f>'Base Model (UDF Algebra)'!E80</f>
        <v>0.4666666666664403</v>
      </c>
      <c r="I33" s="21"/>
    </row>
    <row r="34" spans="1:9" x14ac:dyDescent="0.35">
      <c r="A34" s="45"/>
      <c r="B34" s="43"/>
      <c r="C34" s="38"/>
      <c r="D34" s="38"/>
      <c r="E34" s="38"/>
      <c r="F34" s="38"/>
      <c r="G34" s="45" t="s">
        <v>8</v>
      </c>
      <c r="H34" s="40">
        <f>'Base Model (UDF Algebra)'!E81</f>
        <v>6.6666666667119387E-2</v>
      </c>
      <c r="I34" s="28">
        <f>SUM(H32:H34)</f>
        <v>1</v>
      </c>
    </row>
    <row r="35" spans="1:9" ht="8.5" customHeight="1" x14ac:dyDescent="0.35">
      <c r="A35" s="24"/>
      <c r="B35" s="23"/>
      <c r="C35" s="47"/>
      <c r="D35" s="47"/>
      <c r="E35" s="47"/>
      <c r="F35" s="47"/>
      <c r="G35" s="22"/>
      <c r="H35" s="47"/>
      <c r="I35" s="21"/>
    </row>
    <row r="36" spans="1:9" x14ac:dyDescent="0.35">
      <c r="A36" s="45">
        <v>6</v>
      </c>
      <c r="B36" s="72" t="s">
        <v>5</v>
      </c>
      <c r="C36" s="92">
        <f>'Base Model (UDF Algebra)'!H12</f>
        <v>0.25579213844514831</v>
      </c>
      <c r="D36" s="38"/>
      <c r="E36" s="38"/>
      <c r="F36" s="91">
        <f>C36</f>
        <v>0.25579213844514831</v>
      </c>
      <c r="G36" s="45" t="s">
        <v>6</v>
      </c>
      <c r="H36" s="40">
        <f>'Base Model (UDF Algebra)'!E89</f>
        <v>0.79275736316625756</v>
      </c>
      <c r="I36" s="21"/>
    </row>
    <row r="37" spans="1:9" x14ac:dyDescent="0.35">
      <c r="A37" s="45"/>
      <c r="B37" s="39"/>
      <c r="C37" s="39"/>
      <c r="D37" s="39"/>
      <c r="E37" s="39"/>
      <c r="F37" s="39"/>
      <c r="G37" s="45" t="s">
        <v>7</v>
      </c>
      <c r="H37" s="40">
        <f>'Base Model (UDF Algebra)'!E90</f>
        <v>0.13122122463323266</v>
      </c>
      <c r="I37" s="21"/>
    </row>
    <row r="38" spans="1:9" x14ac:dyDescent="0.35">
      <c r="A38" s="45"/>
      <c r="B38" s="39"/>
      <c r="C38" s="39"/>
      <c r="D38" s="39"/>
      <c r="E38" s="39"/>
      <c r="F38" s="39"/>
      <c r="G38" s="45" t="s">
        <v>8</v>
      </c>
      <c r="H38" s="40">
        <f>'Base Model (UDF Algebra)'!E91</f>
        <v>7.6021412200509883E-2</v>
      </c>
      <c r="I38" s="28">
        <f>SUM(H36:H38)</f>
        <v>1</v>
      </c>
    </row>
    <row r="39" spans="1:9" ht="9" customHeight="1" x14ac:dyDescent="0.35">
      <c r="A39" s="21"/>
      <c r="B39" s="21"/>
      <c r="C39" s="21"/>
      <c r="D39" s="21"/>
      <c r="E39" s="48"/>
      <c r="F39" s="21"/>
    </row>
    <row r="40" spans="1:9" x14ac:dyDescent="0.35">
      <c r="A40" s="21"/>
      <c r="B40" s="103" t="s">
        <v>13</v>
      </c>
      <c r="C40" s="104">
        <f>SUM(C11:C38)</f>
        <v>0.99999999999999978</v>
      </c>
      <c r="E40" s="103" t="s">
        <v>13</v>
      </c>
      <c r="F40" s="104">
        <f>SUM(F11:F38)</f>
        <v>0.99999999999999978</v>
      </c>
      <c r="G40" s="49"/>
      <c r="H40" s="49"/>
    </row>
    <row r="41" spans="1:9" x14ac:dyDescent="0.35">
      <c r="F41" s="21"/>
    </row>
    <row r="42" spans="1:9" x14ac:dyDescent="0.35">
      <c r="F42" s="21"/>
    </row>
    <row r="43" spans="1:9" x14ac:dyDescent="0.35">
      <c r="A43" s="21"/>
      <c r="B43" s="21"/>
      <c r="C43" s="21"/>
      <c r="D43" s="21"/>
      <c r="E43" s="49"/>
      <c r="F43" s="21"/>
    </row>
    <row r="44" spans="1:9" x14ac:dyDescent="0.35">
      <c r="A44" s="21"/>
      <c r="B44" s="21"/>
      <c r="C44" s="21"/>
      <c r="D44" s="21"/>
      <c r="E44" s="21"/>
      <c r="F44" s="21"/>
    </row>
    <row r="45" spans="1:9" x14ac:dyDescent="0.35">
      <c r="A45" s="21"/>
      <c r="B45" s="21"/>
      <c r="C45" s="21"/>
      <c r="D45" s="21"/>
      <c r="E45" s="21"/>
      <c r="F45" s="21"/>
    </row>
    <row r="46" spans="1:9" x14ac:dyDescent="0.35">
      <c r="A46" s="21"/>
      <c r="B46" s="21"/>
      <c r="C46" s="21"/>
      <c r="D46" s="21"/>
      <c r="E46" s="21"/>
      <c r="F46" s="21"/>
    </row>
    <row r="47" spans="1:9" x14ac:dyDescent="0.35">
      <c r="A47" s="21"/>
      <c r="B47" s="21"/>
      <c r="C47" s="21"/>
      <c r="D47" s="21"/>
      <c r="E47" s="21"/>
      <c r="F47" s="21"/>
    </row>
    <row r="48" spans="1:9" x14ac:dyDescent="0.35">
      <c r="A48" s="1"/>
      <c r="B48" s="1"/>
      <c r="C48" s="1"/>
      <c r="D48" s="1"/>
      <c r="E48" s="1"/>
      <c r="F48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09"/>
  <sheetViews>
    <sheetView zoomScaleNormal="100" workbookViewId="0">
      <selection sqref="A1:I1"/>
    </sheetView>
  </sheetViews>
  <sheetFormatPr defaultColWidth="8.81640625" defaultRowHeight="12.5" x14ac:dyDescent="0.25"/>
  <cols>
    <col min="1" max="1" width="3.453125" style="1" customWidth="1"/>
    <col min="2" max="2" width="12.26953125" style="1" customWidth="1"/>
    <col min="3" max="3" width="10.81640625" style="1" customWidth="1"/>
    <col min="4" max="4" width="12.7265625" style="1" customWidth="1"/>
    <col min="5" max="5" width="12.81640625" style="1" customWidth="1"/>
    <col min="6" max="6" width="10.453125" style="1" customWidth="1"/>
    <col min="7" max="7" width="10" style="1" customWidth="1"/>
    <col min="8" max="8" width="11.1796875" style="1" customWidth="1"/>
    <col min="9" max="9" width="10.81640625" style="1" customWidth="1"/>
    <col min="10" max="10" width="10.1796875" style="1" customWidth="1"/>
    <col min="11" max="11" width="10" style="1" bestFit="1" customWidth="1"/>
    <col min="12" max="16384" width="8.81640625" style="1"/>
  </cols>
  <sheetData>
    <row r="1" spans="1:11" ht="15.75" customHeight="1" x14ac:dyDescent="0.45">
      <c r="A1" s="128" t="s">
        <v>54</v>
      </c>
      <c r="B1" s="130"/>
      <c r="C1" s="130"/>
      <c r="D1" s="130"/>
      <c r="E1" s="130"/>
      <c r="F1" s="130"/>
      <c r="G1" s="130"/>
      <c r="H1" s="131"/>
      <c r="I1" s="135"/>
    </row>
    <row r="4" spans="1:11" ht="19.399999999999999" customHeight="1" x14ac:dyDescent="0.25">
      <c r="B4" s="123" t="s">
        <v>24</v>
      </c>
      <c r="C4" s="123" t="s">
        <v>46</v>
      </c>
      <c r="D4" s="121" t="s">
        <v>48</v>
      </c>
      <c r="E4" s="122"/>
      <c r="F4" s="122"/>
      <c r="G4" s="122"/>
      <c r="H4" s="122"/>
      <c r="I4" s="122"/>
    </row>
    <row r="5" spans="1:11" ht="15" customHeight="1" x14ac:dyDescent="0.25">
      <c r="B5" s="124"/>
      <c r="C5" s="124"/>
      <c r="D5" s="80" t="s">
        <v>0</v>
      </c>
      <c r="E5" s="81" t="s">
        <v>1</v>
      </c>
      <c r="F5" s="81" t="s">
        <v>2</v>
      </c>
      <c r="G5" s="81" t="s">
        <v>3</v>
      </c>
      <c r="H5" s="81" t="s">
        <v>4</v>
      </c>
      <c r="I5" s="81" t="s">
        <v>5</v>
      </c>
      <c r="K5" s="2"/>
    </row>
    <row r="6" spans="1:11" x14ac:dyDescent="0.25">
      <c r="A6" s="3"/>
      <c r="B6" s="78" t="s">
        <v>0</v>
      </c>
      <c r="C6" s="15">
        <f>Results!C11</f>
        <v>0.15840818878103241</v>
      </c>
      <c r="D6" s="4">
        <f>C6</f>
        <v>0.15840818878103241</v>
      </c>
      <c r="E6" s="6">
        <f>(1-$E$7)*C6/SUM($C$6,$C$8:$C$11)</f>
        <v>0.15840818878103244</v>
      </c>
      <c r="F6" s="6">
        <f>(1-$F$8)*C6/SUM($C$6:$C$7, $C$9:$C$11)</f>
        <v>0.15840818878103247</v>
      </c>
      <c r="G6" s="6">
        <f>(1-$G$9)*C6/SUM($C$6:$C$8, $C$10:$C$11)</f>
        <v>0.15840818878103247</v>
      </c>
      <c r="H6" s="6">
        <f>(1-$H$10)*C6/SUM($C$6:$C$9, $C$11)</f>
        <v>0.15840818878103247</v>
      </c>
      <c r="I6" s="6">
        <f>(1-$I$11)*C6/SUM($C$6:$C$10)</f>
        <v>0.15840818878103247</v>
      </c>
    </row>
    <row r="7" spans="1:11" x14ac:dyDescent="0.25">
      <c r="A7" s="3"/>
      <c r="B7" s="79" t="s">
        <v>1</v>
      </c>
      <c r="C7" s="15">
        <f>Results!C15</f>
        <v>0.1892472459273436</v>
      </c>
      <c r="D7" s="6">
        <f>(1-$D$6)*C7/SUM($C$7:$C$11)</f>
        <v>0.18924724592734365</v>
      </c>
      <c r="E7" s="4">
        <f>C7</f>
        <v>0.1892472459273436</v>
      </c>
      <c r="F7" s="6">
        <f>(1-$F$8)*C7/SUM($C$6:$C$7, $C$9:$C$11)</f>
        <v>0.18924724592734365</v>
      </c>
      <c r="G7" s="6">
        <f>(1-$G$9)*C7/SUM($C$6:$C$8, $C$10:$C$11)</f>
        <v>0.18924724592734365</v>
      </c>
      <c r="H7" s="6">
        <f>(1-$H$10)*C7/SUM($C$6:$C$9, $C$11)</f>
        <v>0.18924724592734363</v>
      </c>
      <c r="I7" s="6">
        <f>(1-$I$11)*C7/SUM($C$6:$C$10)</f>
        <v>0.18924724592734365</v>
      </c>
    </row>
    <row r="8" spans="1:11" x14ac:dyDescent="0.25">
      <c r="A8" s="3"/>
      <c r="B8" s="79" t="s">
        <v>2</v>
      </c>
      <c r="C8" s="15">
        <f>Results!C24</f>
        <v>0.19799736188507144</v>
      </c>
      <c r="D8" s="6">
        <f>(1-$D$6)*C8/SUM($C$7:$C$11)</f>
        <v>0.1979973618850715</v>
      </c>
      <c r="E8" s="6">
        <f>(1-$E$7)*C8/SUM($C$6,$C$8:$C$11)</f>
        <v>0.19799736188507147</v>
      </c>
      <c r="F8" s="4">
        <f>C8</f>
        <v>0.19799736188507144</v>
      </c>
      <c r="G8" s="6">
        <f>(1-$G$9)*C8/SUM($C$6:$C$8, $C$10:$C$11)</f>
        <v>0.1979973618850715</v>
      </c>
      <c r="H8" s="6">
        <f>(1-$H$10)*C8/SUM($C$6:$C$9, $C$11)</f>
        <v>0.1979973618850715</v>
      </c>
      <c r="I8" s="6">
        <f>(1-$I$11)*C8/SUM($C$6:$C$10)</f>
        <v>0.1979973618850715</v>
      </c>
    </row>
    <row r="9" spans="1:11" x14ac:dyDescent="0.25">
      <c r="A9" s="3"/>
      <c r="B9" s="79" t="s">
        <v>3</v>
      </c>
      <c r="C9" s="15">
        <f>Results!C28</f>
        <v>4.8310388778144399E-2</v>
      </c>
      <c r="D9" s="6">
        <f>(1-$D$6)*C9/SUM($C$7:$C$11)</f>
        <v>4.8310388778144413E-2</v>
      </c>
      <c r="E9" s="6">
        <f>(1-$E$7)*C9/SUM($C$6,$C$8:$C$11)</f>
        <v>4.8310388778144413E-2</v>
      </c>
      <c r="F9" s="6">
        <f>(1-$F$8)*C9/SUM($C$6:$C$7, $C$9:$C$11)</f>
        <v>4.8310388778144413E-2</v>
      </c>
      <c r="G9" s="4">
        <f>C9</f>
        <v>4.8310388778144399E-2</v>
      </c>
      <c r="H9" s="6">
        <f>(1-$H$10)*C9/SUM($C$6:$C$9, $C$11)</f>
        <v>4.8310388778144413E-2</v>
      </c>
      <c r="I9" s="6">
        <f>(1-$I$11)*C9/SUM($C$6:$C$10)</f>
        <v>4.8310388778144413E-2</v>
      </c>
    </row>
    <row r="10" spans="1:11" x14ac:dyDescent="0.25">
      <c r="A10" s="3"/>
      <c r="B10" s="79" t="s">
        <v>4</v>
      </c>
      <c r="C10" s="15">
        <f>Results!C32</f>
        <v>0.15024467618325962</v>
      </c>
      <c r="D10" s="6">
        <f>(1-$D$6)*C10/SUM($C$7:$C$11)</f>
        <v>0.15024467618325965</v>
      </c>
      <c r="E10" s="6">
        <f>(1-$E$7)*C10/SUM($C$6,$C$8:$C$11)</f>
        <v>0.15024467618325968</v>
      </c>
      <c r="F10" s="6">
        <f>(1-$F$8)*C10/SUM($C$6:$C$7, $C$9:$C$11)</f>
        <v>0.15024467618325965</v>
      </c>
      <c r="G10" s="6">
        <f>(1-$G$9)*C10/SUM($C$6:$C$8, $C$10:$C$11)</f>
        <v>0.15024467618325965</v>
      </c>
      <c r="H10" s="4">
        <f>C10</f>
        <v>0.15024467618325962</v>
      </c>
      <c r="I10" s="6">
        <f>(1-$I$11)*C10/SUM($C$6:$C$10)</f>
        <v>0.15024467618325968</v>
      </c>
    </row>
    <row r="11" spans="1:11" x14ac:dyDescent="0.25">
      <c r="A11" s="3"/>
      <c r="B11" s="79" t="s">
        <v>5</v>
      </c>
      <c r="C11" s="15">
        <f>Results!C36</f>
        <v>0.25579213844514831</v>
      </c>
      <c r="D11" s="6">
        <f>(1-$D$6)*C11/SUM($C$7:$C$11)</f>
        <v>0.25579213844514836</v>
      </c>
      <c r="E11" s="6">
        <f>(1-$E$7)*C11/SUM($C$6,$C$8:$C$11)</f>
        <v>0.25579213844514836</v>
      </c>
      <c r="F11" s="6">
        <f>(1-$F$8)*C11/SUM($C$6:$C$7, $C$9:$C$11)</f>
        <v>0.25579213844514836</v>
      </c>
      <c r="G11" s="6">
        <f>(1-$G$9)*C11/SUM($C$6:$C$8, $C$10:$C$11)</f>
        <v>0.25579213844514836</v>
      </c>
      <c r="H11" s="6">
        <f>(1-$H$10)*C11/SUM($C$6:$C$9, $C$11)</f>
        <v>0.25579213844514836</v>
      </c>
      <c r="I11" s="4">
        <f>C11</f>
        <v>0.25579213844514831</v>
      </c>
    </row>
    <row r="12" spans="1:11" x14ac:dyDescent="0.25">
      <c r="B12" s="19" t="s">
        <v>13</v>
      </c>
      <c r="C12" s="18">
        <f t="shared" ref="C12:I12" si="0">SUM(C6:C11)</f>
        <v>0.99999999999999978</v>
      </c>
      <c r="D12" s="18">
        <f t="shared" si="0"/>
        <v>1</v>
      </c>
      <c r="E12" s="18">
        <f t="shared" si="0"/>
        <v>0.99999999999999989</v>
      </c>
      <c r="F12" s="18">
        <f t="shared" si="0"/>
        <v>1</v>
      </c>
      <c r="G12" s="18">
        <f t="shared" si="0"/>
        <v>1</v>
      </c>
      <c r="H12" s="18">
        <f t="shared" si="0"/>
        <v>1</v>
      </c>
      <c r="I12" s="18">
        <f t="shared" si="0"/>
        <v>1</v>
      </c>
    </row>
    <row r="13" spans="1:11" x14ac:dyDescent="0.25">
      <c r="B13" s="41"/>
      <c r="C13" s="42"/>
      <c r="D13" s="42"/>
      <c r="E13" s="42"/>
      <c r="F13" s="42"/>
      <c r="G13" s="42"/>
      <c r="H13" s="42"/>
      <c r="I13" s="42"/>
    </row>
    <row r="14" spans="1:11" x14ac:dyDescent="0.25">
      <c r="C14" s="20"/>
      <c r="D14" s="14"/>
      <c r="E14" s="14"/>
      <c r="F14" s="14"/>
      <c r="G14" s="14"/>
      <c r="H14" s="14"/>
      <c r="I14" s="14"/>
    </row>
    <row r="15" spans="1:11" ht="30.75" customHeight="1" x14ac:dyDescent="0.25">
      <c r="B15" s="123" t="s">
        <v>42</v>
      </c>
      <c r="C15" s="123" t="s">
        <v>46</v>
      </c>
      <c r="D15" s="127" t="s">
        <v>49</v>
      </c>
      <c r="E15" s="127"/>
    </row>
    <row r="16" spans="1:11" ht="27" customHeight="1" x14ac:dyDescent="0.25">
      <c r="B16" s="124"/>
      <c r="C16" s="124"/>
      <c r="D16" s="76" t="s">
        <v>29</v>
      </c>
      <c r="E16" s="76" t="s">
        <v>39</v>
      </c>
      <c r="F16" s="14"/>
      <c r="G16" s="14"/>
      <c r="H16" s="14"/>
      <c r="I16" s="14"/>
    </row>
    <row r="17" spans="2:11" x14ac:dyDescent="0.25">
      <c r="B17" s="78" t="s">
        <v>18</v>
      </c>
      <c r="C17" s="75">
        <f>Results!E16</f>
        <v>0.24999999999454303</v>
      </c>
      <c r="D17" s="4">
        <f>C17</f>
        <v>0.24999999999454303</v>
      </c>
      <c r="E17" s="6">
        <f>1-E18</f>
        <v>0.24999999999454292</v>
      </c>
      <c r="F17" s="14"/>
      <c r="G17" s="14"/>
      <c r="H17" s="14"/>
      <c r="I17" s="14"/>
    </row>
    <row r="18" spans="2:11" x14ac:dyDescent="0.25">
      <c r="B18" s="78" t="s">
        <v>19</v>
      </c>
      <c r="C18" s="75">
        <f>Results!E20</f>
        <v>0.75000000000545708</v>
      </c>
      <c r="D18" s="6">
        <f>1-D17</f>
        <v>0.75000000000545697</v>
      </c>
      <c r="E18" s="4">
        <f>C18</f>
        <v>0.75000000000545708</v>
      </c>
      <c r="F18" s="14"/>
      <c r="G18" s="14"/>
      <c r="H18" s="14"/>
      <c r="I18" s="14"/>
    </row>
    <row r="19" spans="2:11" x14ac:dyDescent="0.25">
      <c r="B19" s="19" t="s">
        <v>13</v>
      </c>
      <c r="C19" s="18">
        <f>SUM(C17:C18)</f>
        <v>1</v>
      </c>
      <c r="D19" s="18">
        <f t="shared" ref="D19:E19" si="1">SUM(D17:D18)</f>
        <v>1</v>
      </c>
      <c r="E19" s="18">
        <f t="shared" si="1"/>
        <v>1</v>
      </c>
      <c r="G19" s="14"/>
      <c r="H19" s="14"/>
      <c r="I19" s="14"/>
    </row>
    <row r="20" spans="2:11" x14ac:dyDescent="0.25">
      <c r="C20" s="20"/>
      <c r="D20" s="14"/>
      <c r="E20" s="14"/>
      <c r="F20" s="14"/>
      <c r="G20" s="14"/>
      <c r="H20" s="14"/>
      <c r="I20" s="14"/>
    </row>
    <row r="22" spans="2:11" x14ac:dyDescent="0.25">
      <c r="B22" s="17"/>
      <c r="C22" s="125" t="s">
        <v>47</v>
      </c>
      <c r="D22" s="125"/>
      <c r="E22" s="125"/>
      <c r="F22" s="125"/>
      <c r="G22" s="125"/>
      <c r="H22" s="125"/>
      <c r="I22" s="126"/>
      <c r="J22" s="16"/>
    </row>
    <row r="23" spans="2:11" ht="22.5" customHeight="1" x14ac:dyDescent="0.25">
      <c r="B23" s="98" t="s">
        <v>12</v>
      </c>
      <c r="C23" s="55" t="s">
        <v>0</v>
      </c>
      <c r="D23" s="56" t="s">
        <v>29</v>
      </c>
      <c r="E23" s="56" t="s">
        <v>30</v>
      </c>
      <c r="F23" s="56" t="s">
        <v>2</v>
      </c>
      <c r="G23" s="56" t="s">
        <v>3</v>
      </c>
      <c r="H23" s="56" t="s">
        <v>4</v>
      </c>
      <c r="I23" s="57" t="s">
        <v>5</v>
      </c>
      <c r="J23" s="85" t="s">
        <v>31</v>
      </c>
    </row>
    <row r="24" spans="2:11" ht="13.5" customHeight="1" x14ac:dyDescent="0.25">
      <c r="B24" s="54"/>
      <c r="C24" s="59">
        <f>C6</f>
        <v>0.15840818878103241</v>
      </c>
      <c r="D24" s="60">
        <f>C7*C17</f>
        <v>4.7311811480803184E-2</v>
      </c>
      <c r="E24" s="60">
        <f>C7*C18</f>
        <v>0.14193543444654044</v>
      </c>
      <c r="F24" s="60">
        <f>C8</f>
        <v>0.19799736188507144</v>
      </c>
      <c r="G24" s="60">
        <f>C9</f>
        <v>4.8310388778144399E-2</v>
      </c>
      <c r="H24" s="60">
        <f>C10</f>
        <v>0.15024467618325962</v>
      </c>
      <c r="I24" s="61">
        <f>C11</f>
        <v>0.25579213844514831</v>
      </c>
      <c r="J24" s="58">
        <f>SUM(C24:I24)</f>
        <v>0.99999999999999978</v>
      </c>
    </row>
    <row r="25" spans="2:11" ht="18" customHeight="1" x14ac:dyDescent="0.3">
      <c r="B25" s="93" t="s">
        <v>6</v>
      </c>
      <c r="C25" s="94">
        <f>Results!H11</f>
        <v>0.13649980298885034</v>
      </c>
      <c r="D25" s="94">
        <f>Results!H16</f>
        <v>8.7946208818644123E-2</v>
      </c>
      <c r="E25" s="94">
        <f>Results!H20</f>
        <v>0.64832901382183794</v>
      </c>
      <c r="F25" s="94">
        <f>Results!H24</f>
        <v>0.24263692173072057</v>
      </c>
      <c r="G25" s="94">
        <f>Results!H28</f>
        <v>0.2789545654864945</v>
      </c>
      <c r="H25" s="94">
        <f>Results!H32</f>
        <v>0.4666666666664403</v>
      </c>
      <c r="I25" s="94">
        <f>Results!H36</f>
        <v>0.79275736316625756</v>
      </c>
      <c r="J25" s="95">
        <f t="array" ref="J25:J27">MMULT(C25:I27, TRANSPOSE(C24:I24))</f>
        <v>0.45221759857355293</v>
      </c>
      <c r="K25" s="5"/>
    </row>
    <row r="26" spans="2:11" ht="17.25" customHeight="1" x14ac:dyDescent="0.25">
      <c r="B26" s="96" t="s">
        <v>7</v>
      </c>
      <c r="C26" s="94">
        <f>Results!H12</f>
        <v>0.62501307434825804</v>
      </c>
      <c r="D26" s="94">
        <f>Results!H17</f>
        <v>0.24263692173072052</v>
      </c>
      <c r="E26" s="94">
        <f>Results!H21</f>
        <v>0.22965079406253855</v>
      </c>
      <c r="F26" s="94">
        <f>Results!H25</f>
        <v>8.7946208818644164E-2</v>
      </c>
      <c r="G26" s="94">
        <f>Results!H29</f>
        <v>0.64911800463079716</v>
      </c>
      <c r="H26" s="94">
        <f>Results!H33</f>
        <v>0.4666666666664403</v>
      </c>
      <c r="I26" s="94">
        <f>Results!H37</f>
        <v>0.13122122463323266</v>
      </c>
      <c r="J26" s="97">
        <v>0.29553416697507645</v>
      </c>
    </row>
    <row r="27" spans="2:11" ht="15.75" customHeight="1" x14ac:dyDescent="0.25">
      <c r="B27" s="96" t="s">
        <v>8</v>
      </c>
      <c r="C27" s="94">
        <f>Results!H13</f>
        <v>0.23848712266289157</v>
      </c>
      <c r="D27" s="94">
        <f>Results!H18</f>
        <v>0.66941686945063539</v>
      </c>
      <c r="E27" s="94">
        <f>Results!H22</f>
        <v>0.12202019211562341</v>
      </c>
      <c r="F27" s="94">
        <f>Results!H26</f>
        <v>0.66941686945063528</v>
      </c>
      <c r="G27" s="94">
        <f>Results!H30</f>
        <v>7.1927429882708352E-2</v>
      </c>
      <c r="H27" s="94">
        <f>Results!H34</f>
        <v>6.6666666667119387E-2</v>
      </c>
      <c r="I27" s="94">
        <f>Results!H38</f>
        <v>7.6021412200509883E-2</v>
      </c>
      <c r="J27" s="97">
        <v>0.2522482344513704</v>
      </c>
    </row>
    <row r="28" spans="2:11" x14ac:dyDescent="0.25">
      <c r="B28" s="19" t="s">
        <v>13</v>
      </c>
      <c r="C28" s="18">
        <f>SUM(C25:C27)</f>
        <v>1</v>
      </c>
      <c r="D28" s="18">
        <f t="shared" ref="D28:J28" si="2">SUM(D25:D27)</f>
        <v>1</v>
      </c>
      <c r="E28" s="18">
        <f t="shared" si="2"/>
        <v>0.99999999999999989</v>
      </c>
      <c r="F28" s="18">
        <f t="shared" si="2"/>
        <v>1</v>
      </c>
      <c r="G28" s="18">
        <f t="shared" si="2"/>
        <v>1</v>
      </c>
      <c r="H28" s="18">
        <f t="shared" si="2"/>
        <v>1</v>
      </c>
      <c r="I28" s="18">
        <f t="shared" si="2"/>
        <v>1</v>
      </c>
      <c r="J28" s="18">
        <f t="shared" si="2"/>
        <v>0.99999999999999978</v>
      </c>
    </row>
    <row r="31" spans="2:11" ht="15.5" x14ac:dyDescent="0.35">
      <c r="B31" s="82" t="s">
        <v>32</v>
      </c>
      <c r="C31" s="83"/>
      <c r="D31" s="83"/>
      <c r="E31" s="83"/>
      <c r="F31" s="83"/>
      <c r="G31" s="83"/>
      <c r="H31" s="83"/>
      <c r="I31" s="83"/>
      <c r="J31" s="84"/>
    </row>
    <row r="33" spans="2:10" x14ac:dyDescent="0.25">
      <c r="B33" s="77" t="s">
        <v>43</v>
      </c>
      <c r="C33" s="68">
        <f>D6</f>
        <v>0.15840818878103241</v>
      </c>
      <c r="D33" s="68">
        <f>D7*C17</f>
        <v>4.7311811480803198E-2</v>
      </c>
      <c r="E33" s="68">
        <f>D7*C18</f>
        <v>0.14193543444654047</v>
      </c>
      <c r="F33" s="68">
        <f>D8</f>
        <v>0.1979973618850715</v>
      </c>
      <c r="G33" s="68">
        <f>D9</f>
        <v>4.8310388778144413E-2</v>
      </c>
      <c r="H33" s="68">
        <f>D10</f>
        <v>0.15024467618325965</v>
      </c>
      <c r="I33" s="68">
        <f>D11</f>
        <v>0.25579213844514836</v>
      </c>
      <c r="J33" s="18">
        <f>SUM(C33:I33)</f>
        <v>1</v>
      </c>
    </row>
    <row r="34" spans="2:10" x14ac:dyDescent="0.25">
      <c r="B34" s="7"/>
    </row>
    <row r="35" spans="2:10" x14ac:dyDescent="0.25">
      <c r="B35" s="89"/>
      <c r="C35" s="86" t="s">
        <v>9</v>
      </c>
      <c r="D35" s="12" t="s">
        <v>10</v>
      </c>
      <c r="E35" s="12" t="s">
        <v>11</v>
      </c>
      <c r="F35" s="41"/>
    </row>
    <row r="36" spans="2:10" x14ac:dyDescent="0.25">
      <c r="B36" s="90"/>
      <c r="C36" s="87">
        <f t="array" ref="C36:E36">TRANSPOSE(MMULT(C25:I27, TRANSPOSE(C33:I33)))</f>
        <v>0.45221759857355304</v>
      </c>
      <c r="D36" s="11">
        <v>0.29553416697507645</v>
      </c>
      <c r="E36" s="11">
        <v>0.25224823445137046</v>
      </c>
      <c r="F36" s="42"/>
    </row>
    <row r="37" spans="2:10" x14ac:dyDescent="0.25">
      <c r="B37" s="88">
        <v>0</v>
      </c>
      <c r="C37" s="10">
        <f t="dataTable" ref="C37:E47" dt2D="0" dtr="0" r1="D6"/>
        <v>0.51164341937862345</v>
      </c>
      <c r="D37" s="10">
        <v>0.2335181679328048</v>
      </c>
      <c r="E37" s="10">
        <v>0.25483841268857182</v>
      </c>
      <c r="F37" s="42"/>
    </row>
    <row r="38" spans="2:10" x14ac:dyDescent="0.25">
      <c r="B38" s="13">
        <v>0.1</v>
      </c>
      <c r="C38" s="10">
        <v>0.47412905773964614</v>
      </c>
      <c r="D38" s="10">
        <v>0.27266765857435016</v>
      </c>
      <c r="E38" s="10">
        <v>0.25320328368600381</v>
      </c>
      <c r="F38" s="42"/>
    </row>
    <row r="39" spans="2:10" x14ac:dyDescent="0.25">
      <c r="B39" s="13">
        <v>0.2</v>
      </c>
      <c r="C39" s="10">
        <v>0.43661469610066889</v>
      </c>
      <c r="D39" s="10">
        <v>0.31181714921589548</v>
      </c>
      <c r="E39" s="10">
        <v>0.2515681546834358</v>
      </c>
      <c r="F39" s="42"/>
    </row>
    <row r="40" spans="2:10" x14ac:dyDescent="0.25">
      <c r="B40" s="13">
        <v>0.3</v>
      </c>
      <c r="C40" s="10">
        <v>0.39910033446169157</v>
      </c>
      <c r="D40" s="10">
        <v>0.35096663985744081</v>
      </c>
      <c r="E40" s="10">
        <v>0.24993302568086773</v>
      </c>
      <c r="F40" s="42"/>
    </row>
    <row r="41" spans="2:10" x14ac:dyDescent="0.25">
      <c r="B41" s="13">
        <v>0.4</v>
      </c>
      <c r="C41" s="10">
        <v>0.36158597282271421</v>
      </c>
      <c r="D41" s="10">
        <v>0.39011613049898614</v>
      </c>
      <c r="E41" s="10">
        <v>0.24829789667829971</v>
      </c>
      <c r="F41" s="42"/>
    </row>
    <row r="42" spans="2:10" x14ac:dyDescent="0.25">
      <c r="B42" s="13">
        <v>0.5</v>
      </c>
      <c r="C42" s="10">
        <v>0.3240716111837369</v>
      </c>
      <c r="D42" s="10">
        <v>0.42926562114053146</v>
      </c>
      <c r="E42" s="10">
        <v>0.2466627676757317</v>
      </c>
      <c r="F42" s="42"/>
    </row>
    <row r="43" spans="2:10" x14ac:dyDescent="0.25">
      <c r="B43" s="13">
        <v>0.6</v>
      </c>
      <c r="C43" s="10">
        <v>0.28655724954475958</v>
      </c>
      <c r="D43" s="10">
        <v>0.46841511178207673</v>
      </c>
      <c r="E43" s="10">
        <v>0.24502763867316368</v>
      </c>
      <c r="F43" s="42"/>
    </row>
    <row r="44" spans="2:10" x14ac:dyDescent="0.25">
      <c r="B44" s="13">
        <v>0.7</v>
      </c>
      <c r="C44" s="10">
        <v>0.2490428879057823</v>
      </c>
      <c r="D44" s="10">
        <v>0.507564602423622</v>
      </c>
      <c r="E44" s="10">
        <v>0.24339250967059567</v>
      </c>
      <c r="F44" s="42"/>
    </row>
    <row r="45" spans="2:10" x14ac:dyDescent="0.25">
      <c r="B45" s="13">
        <v>0.8</v>
      </c>
      <c r="C45" s="10">
        <v>0.21152852626680491</v>
      </c>
      <c r="D45" s="10">
        <v>0.54671409306516749</v>
      </c>
      <c r="E45" s="10">
        <v>0.2417573806680276</v>
      </c>
      <c r="F45" s="42"/>
    </row>
    <row r="46" spans="2:10" x14ac:dyDescent="0.25">
      <c r="B46" s="13">
        <v>0.9</v>
      </c>
      <c r="C46" s="10">
        <v>0.17401416462782768</v>
      </c>
      <c r="D46" s="10">
        <v>0.58586358370671276</v>
      </c>
      <c r="E46" s="10">
        <v>0.24012225166545956</v>
      </c>
      <c r="F46" s="42"/>
    </row>
    <row r="47" spans="2:10" x14ac:dyDescent="0.25">
      <c r="B47" s="13">
        <v>1</v>
      </c>
      <c r="C47" s="10">
        <v>0.13649980298885034</v>
      </c>
      <c r="D47" s="10">
        <v>0.62501307434825804</v>
      </c>
      <c r="E47" s="10">
        <v>0.23848712266289157</v>
      </c>
      <c r="F47" s="42"/>
    </row>
    <row r="48" spans="2:10" x14ac:dyDescent="0.25">
      <c r="B48" s="8"/>
      <c r="C48" s="9"/>
      <c r="D48" s="9"/>
      <c r="E48" s="9"/>
    </row>
    <row r="49" spans="2:10" x14ac:dyDescent="0.25">
      <c r="B49" s="8"/>
      <c r="C49" s="9"/>
      <c r="D49" s="9"/>
      <c r="E49" s="9"/>
    </row>
    <row r="50" spans="2:10" x14ac:dyDescent="0.25">
      <c r="B50" s="8"/>
      <c r="C50" s="9"/>
      <c r="D50" s="9"/>
      <c r="E50" s="9"/>
    </row>
    <row r="51" spans="2:10" x14ac:dyDescent="0.25">
      <c r="B51" s="8"/>
      <c r="C51" s="9"/>
      <c r="D51" s="9"/>
      <c r="E51" s="9"/>
    </row>
    <row r="52" spans="2:10" x14ac:dyDescent="0.25">
      <c r="B52" s="8"/>
      <c r="C52" s="9"/>
      <c r="D52" s="9"/>
      <c r="E52" s="9"/>
    </row>
    <row r="53" spans="2:10" x14ac:dyDescent="0.25">
      <c r="B53" s="8"/>
      <c r="C53" s="9"/>
      <c r="D53" s="9"/>
      <c r="E53" s="9"/>
    </row>
    <row r="54" spans="2:10" ht="15.5" x14ac:dyDescent="0.35">
      <c r="B54" s="82" t="s">
        <v>33</v>
      </c>
      <c r="C54" s="83"/>
      <c r="D54" s="83"/>
      <c r="E54" s="83"/>
      <c r="F54" s="83"/>
      <c r="G54" s="83"/>
      <c r="H54" s="83"/>
      <c r="I54" s="83"/>
      <c r="J54" s="84"/>
    </row>
    <row r="55" spans="2:10" x14ac:dyDescent="0.25">
      <c r="B55" s="7"/>
    </row>
    <row r="56" spans="2:10" x14ac:dyDescent="0.25">
      <c r="B56" s="77" t="s">
        <v>43</v>
      </c>
      <c r="C56" s="68">
        <f>E6</f>
        <v>0.15840818878103244</v>
      </c>
      <c r="D56" s="68">
        <f>E7*C17</f>
        <v>4.7311811480803184E-2</v>
      </c>
      <c r="E56" s="68">
        <f>E7*C18</f>
        <v>0.14193543444654044</v>
      </c>
      <c r="F56" s="68">
        <f>E8</f>
        <v>0.19799736188507147</v>
      </c>
      <c r="G56" s="68">
        <f>E9</f>
        <v>4.8310388778144413E-2</v>
      </c>
      <c r="H56" s="68">
        <f>E10</f>
        <v>0.15024467618325968</v>
      </c>
      <c r="I56" s="68">
        <f>E11</f>
        <v>0.25579213844514836</v>
      </c>
      <c r="J56" s="18">
        <f>SUM(C56:I56)</f>
        <v>1</v>
      </c>
    </row>
    <row r="58" spans="2:10" x14ac:dyDescent="0.25">
      <c r="B58" s="89"/>
      <c r="C58" s="12" t="s">
        <v>9</v>
      </c>
      <c r="D58" s="12" t="s">
        <v>10</v>
      </c>
      <c r="E58" s="12" t="s">
        <v>11</v>
      </c>
    </row>
    <row r="59" spans="2:10" x14ac:dyDescent="0.25">
      <c r="B59" s="90"/>
      <c r="C59" s="11">
        <f t="array" ref="C59:E59">TRANSPOSE(MMULT(C25:I27,  TRANSPOSE(C56:I56)))</f>
        <v>0.45221759857355304</v>
      </c>
      <c r="D59" s="11">
        <v>0.29553416697507651</v>
      </c>
      <c r="E59" s="11">
        <v>0.25224823445137046</v>
      </c>
      <c r="F59" s="41"/>
    </row>
    <row r="60" spans="2:10" x14ac:dyDescent="0.25">
      <c r="B60" s="13">
        <v>0</v>
      </c>
      <c r="C60" s="10">
        <f t="dataTable" ref="C60:E70" dt2D="0" dtr="0" r1="E7"/>
        <v>0.43914231816284133</v>
      </c>
      <c r="D60" s="10">
        <v>0.3101549617765173</v>
      </c>
      <c r="E60" s="10">
        <v>0.25070272006064137</v>
      </c>
      <c r="F60" s="42"/>
    </row>
    <row r="61" spans="2:10" x14ac:dyDescent="0.25">
      <c r="B61" s="13">
        <v>0.1</v>
      </c>
      <c r="C61" s="10">
        <v>0.44605141760396694</v>
      </c>
      <c r="D61" s="10">
        <v>0.30242919819681691</v>
      </c>
      <c r="E61" s="10">
        <v>0.25151938419921621</v>
      </c>
      <c r="F61" s="42"/>
    </row>
    <row r="62" spans="2:10" x14ac:dyDescent="0.25">
      <c r="B62" s="13">
        <v>0.2</v>
      </c>
      <c r="C62" s="10">
        <v>0.4529605170450926</v>
      </c>
      <c r="D62" s="10">
        <v>0.29470343461711651</v>
      </c>
      <c r="E62" s="10">
        <v>0.252336048337791</v>
      </c>
      <c r="F62" s="42"/>
    </row>
    <row r="63" spans="2:10" x14ac:dyDescent="0.25">
      <c r="B63" s="13">
        <v>0.3</v>
      </c>
      <c r="C63" s="10">
        <v>0.45986961648621805</v>
      </c>
      <c r="D63" s="10">
        <v>0.28697767103741612</v>
      </c>
      <c r="E63" s="10">
        <v>0.25315271247636573</v>
      </c>
      <c r="F63" s="42"/>
    </row>
    <row r="64" spans="2:10" x14ac:dyDescent="0.25">
      <c r="B64" s="13">
        <v>0.4</v>
      </c>
      <c r="C64" s="10">
        <v>0.46677871592734377</v>
      </c>
      <c r="D64" s="10">
        <v>0.27925190745771572</v>
      </c>
      <c r="E64" s="10">
        <v>0.25396937661494051</v>
      </c>
      <c r="F64" s="42"/>
    </row>
    <row r="65" spans="2:10" x14ac:dyDescent="0.25">
      <c r="B65" s="13">
        <v>0.5</v>
      </c>
      <c r="C65" s="10">
        <v>0.47368781536846938</v>
      </c>
      <c r="D65" s="10">
        <v>0.27152614387801532</v>
      </c>
      <c r="E65" s="10">
        <v>0.2547860407535153</v>
      </c>
      <c r="F65" s="42"/>
    </row>
    <row r="66" spans="2:10" x14ac:dyDescent="0.25">
      <c r="B66" s="13">
        <v>0.6</v>
      </c>
      <c r="C66" s="10">
        <v>0.4805969148095951</v>
      </c>
      <c r="D66" s="10">
        <v>0.26380038029831487</v>
      </c>
      <c r="E66" s="10">
        <v>0.25560270489209014</v>
      </c>
      <c r="F66" s="42"/>
    </row>
    <row r="67" spans="2:10" x14ac:dyDescent="0.25">
      <c r="B67" s="13">
        <v>0.7</v>
      </c>
      <c r="C67" s="10">
        <v>0.48750601425072065</v>
      </c>
      <c r="D67" s="10">
        <v>0.25607461671861448</v>
      </c>
      <c r="E67" s="10">
        <v>0.25641936903066492</v>
      </c>
      <c r="F67" s="42"/>
    </row>
    <row r="68" spans="2:10" x14ac:dyDescent="0.25">
      <c r="B68" s="13">
        <v>0.8</v>
      </c>
      <c r="C68" s="10">
        <v>0.49441511369184626</v>
      </c>
      <c r="D68" s="10">
        <v>0.24834885313891397</v>
      </c>
      <c r="E68" s="10">
        <v>0.25723603316923971</v>
      </c>
      <c r="F68" s="42"/>
    </row>
    <row r="69" spans="2:10" x14ac:dyDescent="0.25">
      <c r="B69" s="13">
        <v>0.9</v>
      </c>
      <c r="C69" s="10">
        <v>0.50132421313297193</v>
      </c>
      <c r="D69" s="10">
        <v>0.24062308955921358</v>
      </c>
      <c r="E69" s="10">
        <v>0.25805269730781449</v>
      </c>
      <c r="F69" s="42"/>
    </row>
    <row r="70" spans="2:10" x14ac:dyDescent="0.25">
      <c r="B70" s="13">
        <v>1</v>
      </c>
      <c r="C70" s="10">
        <v>0.50823331257409754</v>
      </c>
      <c r="D70" s="10">
        <v>0.23289732597951321</v>
      </c>
      <c r="E70" s="10">
        <v>0.25886936144638928</v>
      </c>
      <c r="F70" s="42"/>
    </row>
    <row r="71" spans="2:10" x14ac:dyDescent="0.25">
      <c r="F71" s="42"/>
    </row>
    <row r="72" spans="2:10" x14ac:dyDescent="0.25">
      <c r="F72" s="9"/>
    </row>
    <row r="73" spans="2:10" x14ac:dyDescent="0.25">
      <c r="F73" s="9"/>
    </row>
    <row r="74" spans="2:10" x14ac:dyDescent="0.25">
      <c r="F74" s="9"/>
    </row>
    <row r="75" spans="2:10" x14ac:dyDescent="0.25">
      <c r="F75" s="9"/>
    </row>
    <row r="76" spans="2:10" x14ac:dyDescent="0.25">
      <c r="F76" s="9"/>
    </row>
    <row r="77" spans="2:10" ht="15.5" x14ac:dyDescent="0.35">
      <c r="B77" s="82" t="s">
        <v>40</v>
      </c>
      <c r="C77" s="83"/>
      <c r="D77" s="83"/>
      <c r="E77" s="83"/>
      <c r="F77" s="83"/>
      <c r="G77" s="83"/>
      <c r="H77" s="83"/>
      <c r="I77" s="83"/>
      <c r="J77" s="84"/>
    </row>
    <row r="79" spans="2:10" x14ac:dyDescent="0.25">
      <c r="B79" s="77" t="s">
        <v>43</v>
      </c>
      <c r="C79" s="68">
        <f>C6</f>
        <v>0.15840818878103241</v>
      </c>
      <c r="D79" s="68">
        <f>C7*D17</f>
        <v>4.7311811480803184E-2</v>
      </c>
      <c r="E79" s="68">
        <f>C7*D18</f>
        <v>0.14193543444654041</v>
      </c>
      <c r="F79" s="68">
        <f>C8</f>
        <v>0.19799736188507144</v>
      </c>
      <c r="G79" s="68">
        <f>C9</f>
        <v>4.8310388778144399E-2</v>
      </c>
      <c r="H79" s="68">
        <f>C10</f>
        <v>0.15024467618325962</v>
      </c>
      <c r="I79" s="68">
        <f>C11</f>
        <v>0.25579213844514831</v>
      </c>
      <c r="J79" s="18">
        <f>SUM(C79:I79)</f>
        <v>0.99999999999999978</v>
      </c>
    </row>
    <row r="81" spans="2:6" x14ac:dyDescent="0.25">
      <c r="B81" s="89"/>
      <c r="C81" s="12" t="s">
        <v>9</v>
      </c>
      <c r="D81" s="12" t="s">
        <v>10</v>
      </c>
      <c r="E81" s="12" t="s">
        <v>11</v>
      </c>
    </row>
    <row r="82" spans="2:6" x14ac:dyDescent="0.25">
      <c r="B82" s="90"/>
      <c r="C82" s="11">
        <f t="array" ref="C82:E82">TRANSPOSE(MMULT(C25:I27,  TRANSPOSE(C79:I79)))</f>
        <v>0.45221759857355293</v>
      </c>
      <c r="D82" s="11">
        <v>0.29553416697507645</v>
      </c>
      <c r="E82" s="11">
        <v>0.25224823445137035</v>
      </c>
      <c r="F82" s="41"/>
    </row>
    <row r="83" spans="2:6" x14ac:dyDescent="0.25">
      <c r="B83" s="13">
        <v>0</v>
      </c>
      <c r="C83" s="10">
        <f t="dataTable" ref="C83:E93" dt2D="0" dtr="0" r1="D17"/>
        <v>0.47873032420094774</v>
      </c>
      <c r="D83" s="10">
        <v>0.29491976975097384</v>
      </c>
      <c r="E83" s="10">
        <v>0.22634990604807823</v>
      </c>
      <c r="F83" s="42"/>
    </row>
    <row r="84" spans="2:6" x14ac:dyDescent="0.25">
      <c r="B84" s="13">
        <v>0.1</v>
      </c>
      <c r="C84" s="10">
        <v>0.46812523394975836</v>
      </c>
      <c r="D84" s="10">
        <v>0.29516552864062023</v>
      </c>
      <c r="E84" s="10">
        <v>0.23670923740962121</v>
      </c>
      <c r="F84" s="42"/>
    </row>
    <row r="85" spans="2:6" x14ac:dyDescent="0.25">
      <c r="B85" s="13">
        <v>0.2</v>
      </c>
      <c r="C85" s="10">
        <v>0.45752014369856897</v>
      </c>
      <c r="D85" s="10">
        <v>0.29541128753026663</v>
      </c>
      <c r="E85" s="10">
        <v>0.2470685687711642</v>
      </c>
      <c r="F85" s="42"/>
    </row>
    <row r="86" spans="2:6" x14ac:dyDescent="0.25">
      <c r="B86" s="13">
        <v>0.3</v>
      </c>
      <c r="C86" s="10">
        <v>0.44691505344737947</v>
      </c>
      <c r="D86" s="10">
        <v>0.29565704641991308</v>
      </c>
      <c r="E86" s="10">
        <v>0.25742790013270717</v>
      </c>
      <c r="F86" s="42"/>
    </row>
    <row r="87" spans="2:6" x14ac:dyDescent="0.25">
      <c r="B87" s="13">
        <v>0.4</v>
      </c>
      <c r="C87" s="10">
        <v>0.43630996319619009</v>
      </c>
      <c r="D87" s="10">
        <v>0.29590280530955954</v>
      </c>
      <c r="E87" s="10">
        <v>0.26778723149425016</v>
      </c>
      <c r="F87" s="42"/>
    </row>
    <row r="88" spans="2:6" x14ac:dyDescent="0.25">
      <c r="B88" s="13">
        <v>0.5</v>
      </c>
      <c r="C88" s="10">
        <v>0.4257048729450007</v>
      </c>
      <c r="D88" s="10">
        <v>0.29614856419920593</v>
      </c>
      <c r="E88" s="10">
        <v>0.27814656285579314</v>
      </c>
      <c r="F88" s="42"/>
    </row>
    <row r="89" spans="2:6" x14ac:dyDescent="0.25">
      <c r="B89" s="13">
        <v>0.6</v>
      </c>
      <c r="C89" s="10">
        <v>0.41509978269381131</v>
      </c>
      <c r="D89" s="10">
        <v>0.29639432308885238</v>
      </c>
      <c r="E89" s="10">
        <v>0.28850589421733619</v>
      </c>
      <c r="F89" s="42"/>
    </row>
    <row r="90" spans="2:6" x14ac:dyDescent="0.25">
      <c r="B90" s="13">
        <v>0.7</v>
      </c>
      <c r="C90" s="10">
        <v>0.40449469244262193</v>
      </c>
      <c r="D90" s="10">
        <v>0.29664008197849884</v>
      </c>
      <c r="E90" s="10">
        <v>0.29886522557887912</v>
      </c>
      <c r="F90" s="42"/>
    </row>
    <row r="91" spans="2:6" x14ac:dyDescent="0.25">
      <c r="B91" s="13">
        <v>0.8</v>
      </c>
      <c r="C91" s="10">
        <v>0.39388960219143243</v>
      </c>
      <c r="D91" s="10">
        <v>0.29688584086814523</v>
      </c>
      <c r="E91" s="10">
        <v>0.30922455694042217</v>
      </c>
      <c r="F91" s="42"/>
    </row>
    <row r="92" spans="2:6" x14ac:dyDescent="0.25">
      <c r="B92" s="13">
        <v>0.9</v>
      </c>
      <c r="C92" s="10">
        <v>0.38328451194024304</v>
      </c>
      <c r="D92" s="10">
        <v>0.29713159975779169</v>
      </c>
      <c r="E92" s="10">
        <v>0.3195838883019651</v>
      </c>
      <c r="F92" s="42"/>
    </row>
    <row r="93" spans="2:6" x14ac:dyDescent="0.25">
      <c r="B93" s="13">
        <v>1</v>
      </c>
      <c r="C93" s="10">
        <v>0.37267942168905366</v>
      </c>
      <c r="D93" s="10">
        <v>0.29737735864743814</v>
      </c>
      <c r="E93" s="10">
        <v>0.32994321966350804</v>
      </c>
      <c r="F93" s="42"/>
    </row>
    <row r="94" spans="2:6" x14ac:dyDescent="0.25">
      <c r="F94" s="42"/>
    </row>
    <row r="95" spans="2:6" x14ac:dyDescent="0.25">
      <c r="F95" s="9"/>
    </row>
    <row r="96" spans="2:6" x14ac:dyDescent="0.25">
      <c r="F96" s="9"/>
    </row>
    <row r="97" spans="2:10" x14ac:dyDescent="0.25">
      <c r="F97" s="9"/>
    </row>
    <row r="98" spans="2:10" x14ac:dyDescent="0.25">
      <c r="F98" s="9"/>
    </row>
    <row r="99" spans="2:10" x14ac:dyDescent="0.25">
      <c r="F99" s="9"/>
    </row>
    <row r="100" spans="2:10" ht="15.5" x14ac:dyDescent="0.35">
      <c r="B100" s="82" t="s">
        <v>41</v>
      </c>
      <c r="C100" s="83"/>
      <c r="D100" s="83"/>
      <c r="E100" s="83"/>
      <c r="F100" s="83"/>
      <c r="G100" s="83"/>
      <c r="H100" s="83"/>
      <c r="I100" s="83"/>
      <c r="J100" s="84"/>
    </row>
    <row r="102" spans="2:10" x14ac:dyDescent="0.25">
      <c r="B102" s="77" t="s">
        <v>43</v>
      </c>
      <c r="C102" s="68">
        <f>C6</f>
        <v>0.15840818878103241</v>
      </c>
      <c r="D102" s="68">
        <f>C7*E17</f>
        <v>4.7311811480803163E-2</v>
      </c>
      <c r="E102" s="68">
        <f>C7*E18</f>
        <v>0.14193543444654044</v>
      </c>
      <c r="F102" s="68">
        <f>C8</f>
        <v>0.19799736188507144</v>
      </c>
      <c r="G102" s="68">
        <f>C9</f>
        <v>4.8310388778144399E-2</v>
      </c>
      <c r="H102" s="68">
        <f>C10</f>
        <v>0.15024467618325962</v>
      </c>
      <c r="I102" s="68">
        <f>C11</f>
        <v>0.25579213844514831</v>
      </c>
      <c r="J102" s="18">
        <f>SUM(C102:I102)</f>
        <v>0.99999999999999978</v>
      </c>
    </row>
    <row r="104" spans="2:10" x14ac:dyDescent="0.25">
      <c r="B104" s="89"/>
      <c r="C104" s="12" t="s">
        <v>9</v>
      </c>
      <c r="D104" s="12" t="s">
        <v>10</v>
      </c>
      <c r="E104" s="12" t="s">
        <v>11</v>
      </c>
    </row>
    <row r="105" spans="2:10" x14ac:dyDescent="0.25">
      <c r="B105" s="90"/>
      <c r="C105" s="11">
        <f t="array" ref="C105:E105">TRANSPOSE(MMULT(C25:I27,  TRANSPOSE(C102:I102)))</f>
        <v>0.45221759857355293</v>
      </c>
      <c r="D105" s="11">
        <v>0.29553416697507645</v>
      </c>
      <c r="E105" s="11">
        <v>0.2522482344513704</v>
      </c>
      <c r="F105" s="41"/>
    </row>
    <row r="106" spans="2:10" x14ac:dyDescent="0.25">
      <c r="B106" s="13">
        <v>0</v>
      </c>
      <c r="C106" s="10">
        <f t="dataTable" ref="C106:E116" dt2D="0" dtr="0" r1="E18"/>
        <v>0.37267942168905366</v>
      </c>
      <c r="D106" s="10">
        <v>0.29737735864743814</v>
      </c>
      <c r="E106" s="10">
        <v>0.32994321966350804</v>
      </c>
      <c r="F106" s="42"/>
    </row>
    <row r="107" spans="2:10" x14ac:dyDescent="0.25">
      <c r="B107" s="13">
        <v>0.1</v>
      </c>
      <c r="C107" s="10">
        <v>0.38328451194024304</v>
      </c>
      <c r="D107" s="10">
        <v>0.29713159975779169</v>
      </c>
      <c r="E107" s="10">
        <v>0.3195838883019651</v>
      </c>
      <c r="F107" s="42"/>
    </row>
    <row r="108" spans="2:10" x14ac:dyDescent="0.25">
      <c r="B108" s="13">
        <v>0.2</v>
      </c>
      <c r="C108" s="10">
        <v>0.39388960219143249</v>
      </c>
      <c r="D108" s="10">
        <v>0.29688584086814523</v>
      </c>
      <c r="E108" s="10">
        <v>0.30922455694042217</v>
      </c>
      <c r="F108" s="42"/>
    </row>
    <row r="109" spans="2:10" x14ac:dyDescent="0.25">
      <c r="B109" s="13">
        <v>0.3</v>
      </c>
      <c r="C109" s="10">
        <v>0.40449469244262187</v>
      </c>
      <c r="D109" s="10">
        <v>0.29664008197849884</v>
      </c>
      <c r="E109" s="10">
        <v>0.29886522557887912</v>
      </c>
      <c r="F109" s="42"/>
    </row>
    <row r="110" spans="2:10" x14ac:dyDescent="0.25">
      <c r="B110" s="13">
        <v>0.4</v>
      </c>
      <c r="C110" s="10">
        <v>0.41509978269381131</v>
      </c>
      <c r="D110" s="10">
        <v>0.29639432308885238</v>
      </c>
      <c r="E110" s="10">
        <v>0.28850589421733619</v>
      </c>
      <c r="F110" s="42"/>
    </row>
    <row r="111" spans="2:10" x14ac:dyDescent="0.25">
      <c r="B111" s="13">
        <v>0.5</v>
      </c>
      <c r="C111" s="10">
        <v>0.4257048729450007</v>
      </c>
      <c r="D111" s="10">
        <v>0.29614856419920593</v>
      </c>
      <c r="E111" s="10">
        <v>0.27814656285579314</v>
      </c>
      <c r="F111" s="42"/>
    </row>
    <row r="112" spans="2:10" x14ac:dyDescent="0.25">
      <c r="B112" s="13">
        <v>0.6</v>
      </c>
      <c r="C112" s="10">
        <v>0.43630996319619009</v>
      </c>
      <c r="D112" s="10">
        <v>0.29590280530955954</v>
      </c>
      <c r="E112" s="10">
        <v>0.26778723149425016</v>
      </c>
      <c r="F112" s="42"/>
    </row>
    <row r="113" spans="2:10" x14ac:dyDescent="0.25">
      <c r="B113" s="13">
        <v>0.7</v>
      </c>
      <c r="C113" s="10">
        <v>0.44691505344737947</v>
      </c>
      <c r="D113" s="10">
        <v>0.29565704641991308</v>
      </c>
      <c r="E113" s="10">
        <v>0.25742790013270717</v>
      </c>
      <c r="F113" s="42"/>
    </row>
    <row r="114" spans="2:10" x14ac:dyDescent="0.25">
      <c r="B114" s="13">
        <v>0.8</v>
      </c>
      <c r="C114" s="10">
        <v>0.45752014369856897</v>
      </c>
      <c r="D114" s="10">
        <v>0.29541128753026663</v>
      </c>
      <c r="E114" s="10">
        <v>0.24706856877116418</v>
      </c>
      <c r="F114" s="42"/>
    </row>
    <row r="115" spans="2:10" x14ac:dyDescent="0.25">
      <c r="B115" s="13">
        <v>0.9</v>
      </c>
      <c r="C115" s="10">
        <v>0.46812523394975836</v>
      </c>
      <c r="D115" s="10">
        <v>0.29516552864062023</v>
      </c>
      <c r="E115" s="10">
        <v>0.23670923740962121</v>
      </c>
      <c r="F115" s="42"/>
    </row>
    <row r="116" spans="2:10" x14ac:dyDescent="0.25">
      <c r="B116" s="13">
        <v>1</v>
      </c>
      <c r="C116" s="10">
        <v>0.47873032420094774</v>
      </c>
      <c r="D116" s="10">
        <v>0.29491976975097384</v>
      </c>
      <c r="E116" s="10">
        <v>0.22634990604807823</v>
      </c>
      <c r="F116" s="42"/>
    </row>
    <row r="117" spans="2:10" x14ac:dyDescent="0.25">
      <c r="F117" s="42"/>
    </row>
    <row r="118" spans="2:10" x14ac:dyDescent="0.25">
      <c r="F118" s="9"/>
    </row>
    <row r="119" spans="2:10" x14ac:dyDescent="0.25">
      <c r="F119" s="9"/>
    </row>
    <row r="120" spans="2:10" x14ac:dyDescent="0.25">
      <c r="F120" s="9"/>
    </row>
    <row r="121" spans="2:10" x14ac:dyDescent="0.25">
      <c r="F121" s="9"/>
    </row>
    <row r="122" spans="2:10" x14ac:dyDescent="0.25">
      <c r="F122" s="9"/>
    </row>
    <row r="123" spans="2:10" ht="15.5" x14ac:dyDescent="0.35">
      <c r="B123" s="82" t="s">
        <v>34</v>
      </c>
      <c r="C123" s="83"/>
      <c r="D123" s="83"/>
      <c r="E123" s="83"/>
      <c r="F123" s="83"/>
      <c r="G123" s="83"/>
      <c r="H123" s="83"/>
      <c r="I123" s="83"/>
      <c r="J123" s="84"/>
    </row>
    <row r="125" spans="2:10" x14ac:dyDescent="0.25">
      <c r="B125" s="77" t="s">
        <v>43</v>
      </c>
      <c r="C125" s="68">
        <f>F6</f>
        <v>0.15840818878103247</v>
      </c>
      <c r="D125" s="68">
        <f>F7*C17</f>
        <v>4.7311811480803198E-2</v>
      </c>
      <c r="E125" s="68">
        <f>F7*C18</f>
        <v>0.14193543444654047</v>
      </c>
      <c r="F125" s="68">
        <f>F8</f>
        <v>0.19799736188507144</v>
      </c>
      <c r="G125" s="68">
        <f>F9</f>
        <v>4.8310388778144413E-2</v>
      </c>
      <c r="H125" s="68">
        <f>F10</f>
        <v>0.15024467618325965</v>
      </c>
      <c r="I125" s="68">
        <f>F11</f>
        <v>0.25579213844514836</v>
      </c>
      <c r="J125" s="18">
        <f>SUM(C125:I125)</f>
        <v>1</v>
      </c>
    </row>
    <row r="127" spans="2:10" x14ac:dyDescent="0.25">
      <c r="B127" s="89"/>
      <c r="C127" s="12" t="s">
        <v>9</v>
      </c>
      <c r="D127" s="12" t="s">
        <v>10</v>
      </c>
      <c r="E127" s="12" t="s">
        <v>11</v>
      </c>
      <c r="F127" s="9"/>
    </row>
    <row r="128" spans="2:10" x14ac:dyDescent="0.25">
      <c r="B128" s="90"/>
      <c r="C128" s="11">
        <f t="array" ref="C128:E128">TRANSPOSE(MMULT(C25:I27, TRANSPOSE(C125:I125)))</f>
        <v>0.45221759857355304</v>
      </c>
      <c r="D128" s="11">
        <v>0.29553416697507656</v>
      </c>
      <c r="E128" s="11">
        <v>0.2522482344513704</v>
      </c>
      <c r="F128" s="41"/>
    </row>
    <row r="129" spans="2:6" x14ac:dyDescent="0.25">
      <c r="B129" s="13">
        <v>0</v>
      </c>
      <c r="C129" s="10">
        <f t="dataTable" ref="C129:E139" dt2D="0" dtr="0" r1="F8"/>
        <v>0.50395860183821073</v>
      </c>
      <c r="D129" s="10">
        <v>0.34678321045788896</v>
      </c>
      <c r="E129" s="10">
        <v>0.14925818770390048</v>
      </c>
      <c r="F129" s="42"/>
    </row>
    <row r="130" spans="2:6" x14ac:dyDescent="0.25">
      <c r="B130" s="13">
        <v>0.1</v>
      </c>
      <c r="C130" s="10">
        <v>0.47782643382746165</v>
      </c>
      <c r="D130" s="10">
        <v>0.32089951029396446</v>
      </c>
      <c r="E130" s="10">
        <v>0.20127405587857392</v>
      </c>
      <c r="F130" s="42"/>
    </row>
    <row r="131" spans="2:6" x14ac:dyDescent="0.25">
      <c r="B131" s="13">
        <v>0.2</v>
      </c>
      <c r="C131" s="10">
        <v>0.45169426581671268</v>
      </c>
      <c r="D131" s="10">
        <v>0.29501581013003997</v>
      </c>
      <c r="E131" s="10">
        <v>0.25328992405324741</v>
      </c>
      <c r="F131" s="42"/>
    </row>
    <row r="132" spans="2:6" x14ac:dyDescent="0.25">
      <c r="B132" s="13">
        <v>0.3</v>
      </c>
      <c r="C132" s="10">
        <v>0.4255620978059636</v>
      </c>
      <c r="D132" s="10">
        <v>0.26913210996611547</v>
      </c>
      <c r="E132" s="10">
        <v>0.30530579222792087</v>
      </c>
      <c r="F132" s="42"/>
    </row>
    <row r="133" spans="2:6" x14ac:dyDescent="0.25">
      <c r="B133" s="13">
        <v>0.4</v>
      </c>
      <c r="C133" s="10">
        <v>0.39942992979521463</v>
      </c>
      <c r="D133" s="10">
        <v>0.24324840980219101</v>
      </c>
      <c r="E133" s="10">
        <v>0.35732166040259433</v>
      </c>
      <c r="F133" s="42"/>
    </row>
    <row r="134" spans="2:6" x14ac:dyDescent="0.25">
      <c r="B134" s="13">
        <v>0.5</v>
      </c>
      <c r="C134" s="10">
        <v>0.37329776178446561</v>
      </c>
      <c r="D134" s="10">
        <v>0.21736470963826654</v>
      </c>
      <c r="E134" s="10">
        <v>0.40933752857726785</v>
      </c>
      <c r="F134" s="42"/>
    </row>
    <row r="135" spans="2:6" x14ac:dyDescent="0.25">
      <c r="B135" s="13">
        <v>0.6</v>
      </c>
      <c r="C135" s="10">
        <v>0.34716559377371659</v>
      </c>
      <c r="D135" s="10">
        <v>0.19148100947434207</v>
      </c>
      <c r="E135" s="10">
        <v>0.46135339675194137</v>
      </c>
      <c r="F135" s="42"/>
    </row>
    <row r="136" spans="2:6" x14ac:dyDescent="0.25">
      <c r="B136" s="13">
        <v>0.7</v>
      </c>
      <c r="C136" s="10">
        <v>0.32103342576296756</v>
      </c>
      <c r="D136" s="10">
        <v>0.16559730931041761</v>
      </c>
      <c r="E136" s="10">
        <v>0.51336926492661483</v>
      </c>
      <c r="F136" s="42"/>
    </row>
    <row r="137" spans="2:6" x14ac:dyDescent="0.25">
      <c r="B137" s="13">
        <v>0.8</v>
      </c>
      <c r="C137" s="10">
        <v>0.29490125775221859</v>
      </c>
      <c r="D137" s="10">
        <v>0.13971360914649311</v>
      </c>
      <c r="E137" s="10">
        <v>0.56538513310128835</v>
      </c>
      <c r="F137" s="42"/>
    </row>
    <row r="138" spans="2:6" x14ac:dyDescent="0.25">
      <c r="B138" s="13">
        <v>0.9</v>
      </c>
      <c r="C138" s="10">
        <v>0.26876908974146957</v>
      </c>
      <c r="D138" s="10">
        <v>0.11382990898256862</v>
      </c>
      <c r="E138" s="10">
        <v>0.61740100127596176</v>
      </c>
      <c r="F138" s="42"/>
    </row>
    <row r="139" spans="2:6" x14ac:dyDescent="0.25">
      <c r="B139" s="13">
        <v>1</v>
      </c>
      <c r="C139" s="10">
        <v>0.24263692173072057</v>
      </c>
      <c r="D139" s="10">
        <v>8.7946208818644164E-2</v>
      </c>
      <c r="E139" s="10">
        <v>0.66941686945063528</v>
      </c>
      <c r="F139" s="42"/>
    </row>
    <row r="140" spans="2:6" x14ac:dyDescent="0.25">
      <c r="F140" s="42"/>
    </row>
    <row r="146" spans="2:10" ht="15.5" x14ac:dyDescent="0.35">
      <c r="B146" s="82" t="s">
        <v>35</v>
      </c>
      <c r="C146" s="83"/>
      <c r="D146" s="83"/>
      <c r="E146" s="83"/>
      <c r="F146" s="83"/>
      <c r="G146" s="83"/>
      <c r="H146" s="83"/>
      <c r="I146" s="83"/>
      <c r="J146" s="84"/>
    </row>
    <row r="148" spans="2:10" x14ac:dyDescent="0.25">
      <c r="B148" s="77" t="s">
        <v>43</v>
      </c>
      <c r="C148" s="68">
        <f>G6</f>
        <v>0.15840818878103247</v>
      </c>
      <c r="D148" s="68">
        <f>G7*C17</f>
        <v>4.7311811480803198E-2</v>
      </c>
      <c r="E148" s="68">
        <f>G7*C18</f>
        <v>0.14193543444654047</v>
      </c>
      <c r="F148" s="68">
        <f>G8</f>
        <v>0.1979973618850715</v>
      </c>
      <c r="G148" s="68">
        <f>G9</f>
        <v>4.8310388778144399E-2</v>
      </c>
      <c r="H148" s="68">
        <f>G10</f>
        <v>0.15024467618325965</v>
      </c>
      <c r="I148" s="68">
        <f>G11</f>
        <v>0.25579213844514836</v>
      </c>
      <c r="J148" s="18">
        <f>SUM(C148:I148)</f>
        <v>1</v>
      </c>
    </row>
    <row r="150" spans="2:10" x14ac:dyDescent="0.25">
      <c r="B150" s="89"/>
      <c r="C150" s="12" t="s">
        <v>9</v>
      </c>
      <c r="D150" s="12" t="s">
        <v>10</v>
      </c>
      <c r="E150" s="12" t="s">
        <v>11</v>
      </c>
      <c r="F150" s="9"/>
    </row>
    <row r="151" spans="2:10" x14ac:dyDescent="0.25">
      <c r="B151" s="90"/>
      <c r="C151" s="11">
        <f t="array" ref="C151:E151">TRANSPOSE(MMULT(C25:I27,  TRANSPOSE(C148:I148)))</f>
        <v>0.45221759857355304</v>
      </c>
      <c r="D151" s="11">
        <v>0.29553416697507656</v>
      </c>
      <c r="E151" s="11">
        <v>0.25224823445137046</v>
      </c>
      <c r="F151" s="41"/>
    </row>
    <row r="152" spans="2:10" x14ac:dyDescent="0.25">
      <c r="B152" s="13">
        <v>0</v>
      </c>
      <c r="C152" s="10">
        <f t="dataTable" ref="C152:E162" dt2D="0" dtr="0" r1="G9"/>
        <v>0.46101290787462834</v>
      </c>
      <c r="D152" s="10">
        <v>0.27758527643198738</v>
      </c>
      <c r="E152" s="10">
        <v>0.26140181569338433</v>
      </c>
      <c r="F152" s="42"/>
    </row>
    <row r="153" spans="2:10" x14ac:dyDescent="0.25">
      <c r="B153" s="13">
        <v>0.1</v>
      </c>
      <c r="C153" s="10">
        <v>0.44280707363581495</v>
      </c>
      <c r="D153" s="10">
        <v>0.31473854925186839</v>
      </c>
      <c r="E153" s="10">
        <v>0.24245437711231674</v>
      </c>
      <c r="F153" s="42"/>
    </row>
    <row r="154" spans="2:10" x14ac:dyDescent="0.25">
      <c r="B154" s="13">
        <v>0.2</v>
      </c>
      <c r="C154" s="10">
        <v>0.42460123939700156</v>
      </c>
      <c r="D154" s="10">
        <v>0.35189182207174935</v>
      </c>
      <c r="E154" s="10">
        <v>0.22350693853124914</v>
      </c>
      <c r="F154" s="42"/>
    </row>
    <row r="155" spans="2:10" x14ac:dyDescent="0.25">
      <c r="B155" s="13">
        <v>0.3</v>
      </c>
      <c r="C155" s="10">
        <v>0.40639540515818817</v>
      </c>
      <c r="D155" s="10">
        <v>0.38904509489163031</v>
      </c>
      <c r="E155" s="10">
        <v>0.20455949995018152</v>
      </c>
      <c r="F155" s="42"/>
    </row>
    <row r="156" spans="2:10" x14ac:dyDescent="0.25">
      <c r="B156" s="13">
        <v>0.4</v>
      </c>
      <c r="C156" s="10">
        <v>0.38818957091937478</v>
      </c>
      <c r="D156" s="10">
        <v>0.42619836771151132</v>
      </c>
      <c r="E156" s="10">
        <v>0.18561206136911393</v>
      </c>
      <c r="F156" s="42"/>
    </row>
    <row r="157" spans="2:10" x14ac:dyDescent="0.25">
      <c r="B157" s="13">
        <v>0.5</v>
      </c>
      <c r="C157" s="10">
        <v>0.36998373668056145</v>
      </c>
      <c r="D157" s="10">
        <v>0.46335164053139227</v>
      </c>
      <c r="E157" s="10">
        <v>0.16666462278804633</v>
      </c>
      <c r="F157" s="42"/>
    </row>
    <row r="158" spans="2:10" x14ac:dyDescent="0.25">
      <c r="B158" s="13">
        <v>0.6</v>
      </c>
      <c r="C158" s="10">
        <v>0.35177790244174806</v>
      </c>
      <c r="D158" s="10">
        <v>0.50050491335127323</v>
      </c>
      <c r="E158" s="10">
        <v>0.1477171842069788</v>
      </c>
      <c r="F158" s="42"/>
    </row>
    <row r="159" spans="2:10" x14ac:dyDescent="0.25">
      <c r="B159" s="13">
        <v>0.7</v>
      </c>
      <c r="C159" s="10">
        <v>0.33357206820293467</v>
      </c>
      <c r="D159" s="10">
        <v>0.53765818617115424</v>
      </c>
      <c r="E159" s="10">
        <v>0.12876974562591115</v>
      </c>
      <c r="F159" s="42"/>
    </row>
    <row r="160" spans="2:10" x14ac:dyDescent="0.25">
      <c r="B160" s="13">
        <v>0.8</v>
      </c>
      <c r="C160" s="10">
        <v>0.31536623396412128</v>
      </c>
      <c r="D160" s="10">
        <v>0.57481145899103525</v>
      </c>
      <c r="E160" s="10">
        <v>0.10982230704484355</v>
      </c>
      <c r="F160" s="42"/>
    </row>
    <row r="161" spans="2:10" x14ac:dyDescent="0.25">
      <c r="B161" s="13">
        <v>0.9</v>
      </c>
      <c r="C161" s="10">
        <v>0.29716039972530783</v>
      </c>
      <c r="D161" s="10">
        <v>0.61196473181091626</v>
      </c>
      <c r="E161" s="10">
        <v>9.087486846377596E-2</v>
      </c>
      <c r="F161" s="42"/>
    </row>
    <row r="162" spans="2:10" x14ac:dyDescent="0.25">
      <c r="B162" s="13">
        <v>1</v>
      </c>
      <c r="C162" s="10">
        <v>0.2789545654864945</v>
      </c>
      <c r="D162" s="10">
        <v>0.64911800463079716</v>
      </c>
      <c r="E162" s="10">
        <v>7.1927429882708352E-2</v>
      </c>
      <c r="F162" s="42"/>
    </row>
    <row r="163" spans="2:10" x14ac:dyDescent="0.25">
      <c r="F163" s="42"/>
    </row>
    <row r="164" spans="2:10" x14ac:dyDescent="0.25">
      <c r="F164" s="9"/>
    </row>
    <row r="169" spans="2:10" ht="15.5" x14ac:dyDescent="0.35">
      <c r="B169" s="82" t="s">
        <v>44</v>
      </c>
      <c r="C169" s="62"/>
      <c r="D169" s="62"/>
      <c r="E169" s="62"/>
      <c r="F169" s="62"/>
      <c r="G169" s="62"/>
      <c r="H169" s="62"/>
      <c r="I169" s="62"/>
      <c r="J169" s="63"/>
    </row>
    <row r="171" spans="2:10" x14ac:dyDescent="0.25">
      <c r="B171" s="77" t="s">
        <v>43</v>
      </c>
      <c r="C171" s="68">
        <f>H6</f>
        <v>0.15840818878103247</v>
      </c>
      <c r="D171" s="68">
        <f>H7*C17</f>
        <v>4.7311811480803191E-2</v>
      </c>
      <c r="E171" s="68">
        <f>H7*C18</f>
        <v>0.14193543444654047</v>
      </c>
      <c r="F171" s="68">
        <f>H8</f>
        <v>0.1979973618850715</v>
      </c>
      <c r="G171" s="68">
        <f>H9</f>
        <v>4.8310388778144413E-2</v>
      </c>
      <c r="H171" s="68">
        <f>H10</f>
        <v>0.15024467618325962</v>
      </c>
      <c r="I171" s="68">
        <f>H11</f>
        <v>0.25579213844514836</v>
      </c>
      <c r="J171" s="18">
        <f>SUM(C171:I171)</f>
        <v>1</v>
      </c>
    </row>
    <row r="173" spans="2:10" x14ac:dyDescent="0.25">
      <c r="B173" s="89"/>
      <c r="C173" s="12" t="s">
        <v>9</v>
      </c>
      <c r="D173" s="12" t="s">
        <v>10</v>
      </c>
      <c r="E173" s="12" t="s">
        <v>11</v>
      </c>
    </row>
    <row r="174" spans="2:10" x14ac:dyDescent="0.25">
      <c r="B174" s="90"/>
      <c r="C174" s="11">
        <f t="array" ref="C174:E174">TRANSPOSE(MMULT(C25:I27,  TRANSPOSE(C171:I171)))</f>
        <v>0.45221759857355304</v>
      </c>
      <c r="D174" s="11">
        <v>0.29553416697507656</v>
      </c>
      <c r="E174" s="11">
        <v>0.25224823445137046</v>
      </c>
      <c r="F174" s="41"/>
    </row>
    <row r="175" spans="2:10" x14ac:dyDescent="0.25">
      <c r="B175" s="13">
        <v>0</v>
      </c>
      <c r="C175" s="10">
        <f t="dataTable" ref="C175:E185" dt2D="0" dtr="0" r1="H10"/>
        <v>0.44966286841073988</v>
      </c>
      <c r="D175" s="10">
        <v>0.26527634301102715</v>
      </c>
      <c r="E175" s="10">
        <v>0.28506078857823303</v>
      </c>
      <c r="F175" s="42"/>
    </row>
    <row r="176" spans="2:10" x14ac:dyDescent="0.25">
      <c r="B176" s="13">
        <v>0.1</v>
      </c>
      <c r="C176" s="10">
        <v>0.45136324823630991</v>
      </c>
      <c r="D176" s="10">
        <v>0.28541537537656847</v>
      </c>
      <c r="E176" s="10">
        <v>0.26322137638712173</v>
      </c>
      <c r="F176" s="42"/>
    </row>
    <row r="177" spans="2:10" x14ac:dyDescent="0.25">
      <c r="B177" s="13">
        <v>0.2</v>
      </c>
      <c r="C177" s="10">
        <v>0.45306362806187994</v>
      </c>
      <c r="D177" s="10">
        <v>0.30555440774210985</v>
      </c>
      <c r="E177" s="10">
        <v>0.24138196419601035</v>
      </c>
      <c r="F177" s="42"/>
    </row>
    <row r="178" spans="2:10" x14ac:dyDescent="0.25">
      <c r="B178" s="13">
        <v>0.3</v>
      </c>
      <c r="C178" s="10">
        <v>0.45476400788744997</v>
      </c>
      <c r="D178" s="10">
        <v>0.32569344010765111</v>
      </c>
      <c r="E178" s="10">
        <v>0.21954255200489897</v>
      </c>
      <c r="F178" s="42"/>
    </row>
    <row r="179" spans="2:10" x14ac:dyDescent="0.25">
      <c r="B179" s="13">
        <v>0.4</v>
      </c>
      <c r="C179" s="10">
        <v>0.45646438771302006</v>
      </c>
      <c r="D179" s="10">
        <v>0.34583247247319243</v>
      </c>
      <c r="E179" s="10">
        <v>0.19770313981378757</v>
      </c>
      <c r="F179" s="42"/>
    </row>
    <row r="180" spans="2:10" x14ac:dyDescent="0.25">
      <c r="B180" s="13">
        <v>0.5</v>
      </c>
      <c r="C180" s="10">
        <v>0.45816476753859009</v>
      </c>
      <c r="D180" s="10">
        <v>0.36597150483873375</v>
      </c>
      <c r="E180" s="10">
        <v>0.17586372762267621</v>
      </c>
      <c r="F180" s="42"/>
    </row>
    <row r="181" spans="2:10" x14ac:dyDescent="0.25">
      <c r="B181" s="13">
        <v>0.6</v>
      </c>
      <c r="C181" s="10">
        <v>0.45986514736416012</v>
      </c>
      <c r="D181" s="10">
        <v>0.38611053720427507</v>
      </c>
      <c r="E181" s="10">
        <v>0.15402431543156486</v>
      </c>
      <c r="F181" s="42"/>
    </row>
    <row r="182" spans="2:10" x14ac:dyDescent="0.25">
      <c r="B182" s="13">
        <v>0.7</v>
      </c>
      <c r="C182" s="10">
        <v>0.46156552718973021</v>
      </c>
      <c r="D182" s="10">
        <v>0.40624956956981634</v>
      </c>
      <c r="E182" s="10">
        <v>0.13218490324045348</v>
      </c>
      <c r="F182" s="42"/>
    </row>
    <row r="183" spans="2:10" x14ac:dyDescent="0.25">
      <c r="B183" s="13">
        <v>0.8</v>
      </c>
      <c r="C183" s="10">
        <v>0.46326590701530024</v>
      </c>
      <c r="D183" s="10">
        <v>0.42638860193535771</v>
      </c>
      <c r="E183" s="10">
        <v>0.11034549104934212</v>
      </c>
      <c r="F183" s="42"/>
    </row>
    <row r="184" spans="2:10" x14ac:dyDescent="0.25">
      <c r="B184" s="13">
        <v>0.9</v>
      </c>
      <c r="C184" s="10">
        <v>0.46496628684087027</v>
      </c>
      <c r="D184" s="10">
        <v>0.44652763430089898</v>
      </c>
      <c r="E184" s="10">
        <v>8.8506078858230752E-2</v>
      </c>
      <c r="F184" s="42"/>
    </row>
    <row r="185" spans="2:10" x14ac:dyDescent="0.25">
      <c r="B185" s="13">
        <v>1</v>
      </c>
      <c r="C185" s="10">
        <v>0.4666666666664403</v>
      </c>
      <c r="D185" s="10">
        <v>0.4666666666664403</v>
      </c>
      <c r="E185" s="10">
        <v>6.6666666667119387E-2</v>
      </c>
      <c r="F185" s="42"/>
    </row>
    <row r="186" spans="2:10" x14ac:dyDescent="0.25">
      <c r="F186" s="42"/>
    </row>
    <row r="192" spans="2:10" ht="15.5" x14ac:dyDescent="0.35">
      <c r="B192" s="82" t="s">
        <v>45</v>
      </c>
      <c r="C192" s="62"/>
      <c r="D192" s="62"/>
      <c r="E192" s="62"/>
      <c r="F192" s="62"/>
      <c r="G192" s="62"/>
      <c r="H192" s="62"/>
      <c r="I192" s="62"/>
      <c r="J192" s="63"/>
    </row>
    <row r="194" spans="2:10" x14ac:dyDescent="0.25">
      <c r="B194" s="77" t="s">
        <v>43</v>
      </c>
      <c r="C194" s="68">
        <f>I6</f>
        <v>0.15840818878103247</v>
      </c>
      <c r="D194" s="68">
        <f>I7*C17</f>
        <v>4.7311811480803198E-2</v>
      </c>
      <c r="E194" s="68">
        <f>I7*C18</f>
        <v>0.14193543444654047</v>
      </c>
      <c r="F194" s="68">
        <f>I8</f>
        <v>0.1979973618850715</v>
      </c>
      <c r="G194" s="68">
        <f>I9</f>
        <v>4.8310388778144413E-2</v>
      </c>
      <c r="H194" s="68">
        <f>I10</f>
        <v>0.15024467618325968</v>
      </c>
      <c r="I194" s="68">
        <f>I11</f>
        <v>0.25579213844514831</v>
      </c>
      <c r="J194" s="18">
        <f>SUM(C194:I194)</f>
        <v>1</v>
      </c>
    </row>
    <row r="196" spans="2:10" x14ac:dyDescent="0.25">
      <c r="B196" s="89"/>
      <c r="C196" s="12" t="s">
        <v>9</v>
      </c>
      <c r="D196" s="12" t="s">
        <v>10</v>
      </c>
      <c r="E196" s="12" t="s">
        <v>11</v>
      </c>
    </row>
    <row r="197" spans="2:10" x14ac:dyDescent="0.25">
      <c r="B197" s="90"/>
      <c r="C197" s="11">
        <f t="array" ref="C197:E197">TRANSPOSE(MMULT(C25:I27, TRANSPOSE(C194:I194)))</f>
        <v>0.45221759857355304</v>
      </c>
      <c r="D197" s="11">
        <v>0.29553416697507656</v>
      </c>
      <c r="E197" s="11">
        <v>0.25224823445137046</v>
      </c>
      <c r="F197" s="41"/>
    </row>
    <row r="198" spans="2:10" x14ac:dyDescent="0.25">
      <c r="B198" s="13">
        <v>0</v>
      </c>
      <c r="C198" s="10">
        <f t="dataTable" ref="C198:E208" dt2D="0" dtr="0" r1="I11"/>
        <v>0.33517046818072915</v>
      </c>
      <c r="D198" s="10">
        <v>0.35201026870292257</v>
      </c>
      <c r="E198" s="10">
        <v>0.31281926311634811</v>
      </c>
      <c r="F198" s="42"/>
    </row>
    <row r="199" spans="2:10" x14ac:dyDescent="0.25">
      <c r="B199" s="13">
        <v>0.1</v>
      </c>
      <c r="C199" s="10">
        <v>0.38092915767928204</v>
      </c>
      <c r="D199" s="10">
        <v>0.32993136429595366</v>
      </c>
      <c r="E199" s="10">
        <v>0.28913947802476425</v>
      </c>
      <c r="F199" s="42"/>
    </row>
    <row r="200" spans="2:10" x14ac:dyDescent="0.25">
      <c r="B200" s="13">
        <v>0.2</v>
      </c>
      <c r="C200" s="10">
        <v>0.42668784717783492</v>
      </c>
      <c r="D200" s="10">
        <v>0.30785245988898463</v>
      </c>
      <c r="E200" s="10">
        <v>0.2654596929331805</v>
      </c>
      <c r="F200" s="42"/>
    </row>
    <row r="201" spans="2:10" x14ac:dyDescent="0.25">
      <c r="B201" s="13">
        <v>0.3</v>
      </c>
      <c r="C201" s="10">
        <v>0.47244653667638764</v>
      </c>
      <c r="D201" s="10">
        <v>0.28577355548201561</v>
      </c>
      <c r="E201" s="10">
        <v>0.24177990784159661</v>
      </c>
      <c r="F201" s="42"/>
    </row>
    <row r="202" spans="2:10" x14ac:dyDescent="0.25">
      <c r="B202" s="13">
        <v>0.4</v>
      </c>
      <c r="C202" s="10">
        <v>0.51820522617494058</v>
      </c>
      <c r="D202" s="10">
        <v>0.26369465107504664</v>
      </c>
      <c r="E202" s="10">
        <v>0.21810012275001284</v>
      </c>
      <c r="F202" s="42"/>
    </row>
    <row r="203" spans="2:10" x14ac:dyDescent="0.25">
      <c r="B203" s="13">
        <v>0.5</v>
      </c>
      <c r="C203" s="10">
        <v>0.56396391567349335</v>
      </c>
      <c r="D203" s="10">
        <v>0.24161574666807761</v>
      </c>
      <c r="E203" s="10">
        <v>0.194420337658429</v>
      </c>
      <c r="F203" s="42"/>
    </row>
    <row r="204" spans="2:10" x14ac:dyDescent="0.25">
      <c r="B204" s="13">
        <v>0.6</v>
      </c>
      <c r="C204" s="10">
        <v>0.60972260517204613</v>
      </c>
      <c r="D204" s="10">
        <v>0.21953684226110864</v>
      </c>
      <c r="E204" s="10">
        <v>0.1707405525668452</v>
      </c>
      <c r="F204" s="42"/>
    </row>
    <row r="205" spans="2:10" x14ac:dyDescent="0.25">
      <c r="B205" s="13">
        <v>0.7</v>
      </c>
      <c r="C205" s="10">
        <v>0.65548129467059901</v>
      </c>
      <c r="D205" s="10">
        <v>0.19745793785413965</v>
      </c>
      <c r="E205" s="10">
        <v>0.14706076747526137</v>
      </c>
      <c r="F205" s="42"/>
    </row>
    <row r="206" spans="2:10" x14ac:dyDescent="0.25">
      <c r="B206" s="13">
        <v>0.8</v>
      </c>
      <c r="C206" s="10">
        <v>0.7012399841691519</v>
      </c>
      <c r="D206" s="10">
        <v>0.17537903344717065</v>
      </c>
      <c r="E206" s="10">
        <v>0.12338098238367751</v>
      </c>
      <c r="F206" s="42"/>
    </row>
    <row r="207" spans="2:10" x14ac:dyDescent="0.25">
      <c r="B207" s="13">
        <v>0.9</v>
      </c>
      <c r="C207" s="10">
        <v>0.74699867366770467</v>
      </c>
      <c r="D207" s="10">
        <v>0.15330012904020163</v>
      </c>
      <c r="E207" s="10">
        <v>9.9701197292093702E-2</v>
      </c>
      <c r="F207" s="42"/>
    </row>
    <row r="208" spans="2:10" x14ac:dyDescent="0.25">
      <c r="B208" s="13">
        <v>1</v>
      </c>
      <c r="C208" s="10">
        <v>0.79275736316625756</v>
      </c>
      <c r="D208" s="10">
        <v>0.13122122463323266</v>
      </c>
      <c r="E208" s="10">
        <v>7.6021412200509883E-2</v>
      </c>
      <c r="F208" s="42"/>
    </row>
    <row r="209" spans="6:6" x14ac:dyDescent="0.25">
      <c r="F209" s="42"/>
    </row>
  </sheetData>
  <mergeCells count="7">
    <mergeCell ref="D4:I4"/>
    <mergeCell ref="C4:C5"/>
    <mergeCell ref="B4:B5"/>
    <mergeCell ref="C22:I22"/>
    <mergeCell ref="D15:E15"/>
    <mergeCell ref="B15:B16"/>
    <mergeCell ref="C15:C16"/>
  </mergeCell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Base Model (UDF Algebra)</vt:lpstr>
      <vt:lpstr>Results</vt:lpstr>
      <vt:lpstr>Sensitivity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2024-08-28T05:16:47Z</dcterms:modified>
</cp:coreProperties>
</file>