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ss00\DSS\dss5202 2026\code\02 LCA\case study 2\"/>
    </mc:Choice>
  </mc:AlternateContent>
  <xr:revisionPtr revIDLastSave="0" documentId="13_ncr:1_{9B6CCAA1-EDDD-453B-AD0D-E390981531C8}" xr6:coauthVersionLast="47" xr6:coauthVersionMax="47" xr10:uidLastSave="{00000000-0000-0000-0000-000000000000}"/>
  <bookViews>
    <workbookView xWindow="380" yWindow="380" windowWidth="33670" windowHeight="12640" xr2:uid="{00000000-000D-0000-FFFF-FFFF00000000}"/>
  </bookViews>
  <sheets>
    <sheet name="LED 10w" sheetId="5" r:id="rId1"/>
    <sheet name="Incand 60w" sheetId="3" r:id="rId2"/>
    <sheet name="midpoint scores" sheetId="6" r:id="rId3"/>
    <sheet name="normalization" sheetId="12" r:id="rId4"/>
    <sheet name="endpoint scores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5" l="1"/>
  <c r="D35" i="5"/>
  <c r="D11" i="5"/>
  <c r="D11" i="3"/>
  <c r="E34" i="3" s="1"/>
  <c r="E32" i="3" s="1"/>
  <c r="D37" i="3"/>
  <c r="D35" i="3"/>
  <c r="E34" i="5" l="1"/>
  <c r="E32" i="5" s="1"/>
  <c r="E48" i="5"/>
  <c r="E46" i="5" s="1"/>
  <c r="E23" i="5"/>
  <c r="E17" i="5" s="1"/>
  <c r="E48" i="3"/>
  <c r="E46" i="3" s="1"/>
  <c r="E38" i="3"/>
  <c r="E62" i="3" s="1"/>
  <c r="E42" i="3"/>
  <c r="E66" i="3" s="1"/>
  <c r="E41" i="3"/>
  <c r="E65" i="3" s="1"/>
  <c r="E40" i="3"/>
  <c r="E64" i="3" s="1"/>
  <c r="E39" i="3"/>
  <c r="E63" i="3" s="1"/>
  <c r="E35" i="3"/>
  <c r="E68" i="3" s="1"/>
  <c r="E43" i="3"/>
  <c r="E67" i="3" s="1"/>
  <c r="E23" i="3"/>
  <c r="E17" i="3" s="1"/>
  <c r="E21" i="3" s="1"/>
  <c r="D68" i="3" s="1"/>
  <c r="E37" i="3"/>
  <c r="E43" i="5" l="1"/>
  <c r="E67" i="5" s="1"/>
  <c r="E42" i="5"/>
  <c r="E66" i="5" s="1"/>
  <c r="E41" i="5"/>
  <c r="E65" i="5" s="1"/>
  <c r="E40" i="5"/>
  <c r="E64" i="5" s="1"/>
  <c r="E39" i="5"/>
  <c r="E63" i="5" s="1"/>
  <c r="E38" i="5"/>
  <c r="E62" i="5" s="1"/>
  <c r="E37" i="5"/>
  <c r="E35" i="5"/>
  <c r="E68" i="5" s="1"/>
  <c r="E49" i="5"/>
  <c r="F68" i="5" s="1"/>
  <c r="E51" i="5"/>
  <c r="F62" i="5" s="1"/>
  <c r="E52" i="5"/>
  <c r="F63" i="5" s="1"/>
  <c r="E53" i="5"/>
  <c r="F64" i="5" s="1"/>
  <c r="E54" i="5"/>
  <c r="F65" i="5" s="1"/>
  <c r="E55" i="5"/>
  <c r="F66" i="5" s="1"/>
  <c r="E56" i="5"/>
  <c r="F67" i="5" s="1"/>
  <c r="E24" i="5"/>
  <c r="D62" i="5" s="1"/>
  <c r="E25" i="5"/>
  <c r="D63" i="5" s="1"/>
  <c r="E26" i="5"/>
  <c r="D64" i="5" s="1"/>
  <c r="E27" i="5"/>
  <c r="D65" i="5" s="1"/>
  <c r="E28" i="5"/>
  <c r="D66" i="5" s="1"/>
  <c r="E29" i="5"/>
  <c r="D67" i="5" s="1"/>
  <c r="E21" i="5"/>
  <c r="D68" i="5" s="1"/>
  <c r="E20" i="5"/>
  <c r="E19" i="5"/>
  <c r="E29" i="3"/>
  <c r="D67" i="3" s="1"/>
  <c r="E26" i="3"/>
  <c r="D64" i="3" s="1"/>
  <c r="E20" i="3"/>
  <c r="E25" i="3"/>
  <c r="D63" i="3" s="1"/>
  <c r="E24" i="3"/>
  <c r="D62" i="3" s="1"/>
  <c r="E54" i="3"/>
  <c r="F65" i="3" s="1"/>
  <c r="E55" i="3"/>
  <c r="F66" i="3" s="1"/>
  <c r="E52" i="3"/>
  <c r="F63" i="3" s="1"/>
  <c r="E53" i="3"/>
  <c r="F64" i="3" s="1"/>
  <c r="E56" i="3"/>
  <c r="F67" i="3" s="1"/>
  <c r="E51" i="3"/>
  <c r="F62" i="3" s="1"/>
  <c r="E49" i="3"/>
  <c r="F68" i="3" s="1"/>
  <c r="G68" i="3" s="1"/>
  <c r="E27" i="3"/>
  <c r="D65" i="3" s="1"/>
  <c r="E19" i="3"/>
  <c r="E28" i="3"/>
  <c r="D66" i="3" s="1"/>
  <c r="G62" i="5" l="1"/>
  <c r="E16" i="6" s="1" a="1"/>
  <c r="G63" i="5"/>
  <c r="G64" i="5"/>
  <c r="G65" i="5"/>
  <c r="G66" i="5"/>
  <c r="G68" i="5"/>
  <c r="G67" i="5"/>
  <c r="G63" i="3"/>
  <c r="G64" i="3"/>
  <c r="G62" i="3"/>
  <c r="E27" i="6" s="1" a="1"/>
  <c r="G66" i="3"/>
  <c r="G65" i="3"/>
  <c r="G67" i="3"/>
  <c r="E16" i="6" l="1"/>
  <c r="G16" i="6"/>
  <c r="H16" i="6"/>
  <c r="I16" i="6" s="1"/>
  <c r="F19" i="6"/>
  <c r="G19" i="6"/>
  <c r="H19" i="6"/>
  <c r="I19" i="6" s="1"/>
  <c r="E21" i="6"/>
  <c r="F21" i="6"/>
  <c r="G21" i="6"/>
  <c r="H21" i="6"/>
  <c r="I21" i="6" s="1"/>
  <c r="F16" i="6"/>
  <c r="E17" i="6"/>
  <c r="F17" i="6"/>
  <c r="G17" i="6"/>
  <c r="H17" i="6"/>
  <c r="I17" i="6" s="1"/>
  <c r="E18" i="6"/>
  <c r="F18" i="6"/>
  <c r="G18" i="6"/>
  <c r="H18" i="6"/>
  <c r="I18" i="6" s="1"/>
  <c r="E19" i="6"/>
  <c r="E20" i="6"/>
  <c r="F20" i="6"/>
  <c r="G20" i="6"/>
  <c r="H20" i="6"/>
  <c r="I20" i="6" s="1"/>
  <c r="F27" i="6"/>
  <c r="E28" i="6"/>
  <c r="F28" i="6"/>
  <c r="G28" i="6"/>
  <c r="H28" i="6"/>
  <c r="I28" i="6" s="1"/>
  <c r="E30" i="6"/>
  <c r="F30" i="6"/>
  <c r="H30" i="6"/>
  <c r="I30" i="6" s="1"/>
  <c r="E31" i="6"/>
  <c r="F31" i="6"/>
  <c r="G31" i="6"/>
  <c r="H31" i="6"/>
  <c r="I31" i="6" s="1"/>
  <c r="E32" i="6"/>
  <c r="F32" i="6"/>
  <c r="G32" i="6"/>
  <c r="H32" i="6"/>
  <c r="I32" i="6" s="1"/>
  <c r="E29" i="6"/>
  <c r="F29" i="6"/>
  <c r="G29" i="6"/>
  <c r="H29" i="6"/>
  <c r="I29" i="6" s="1"/>
  <c r="G30" i="6"/>
  <c r="E27" i="6"/>
  <c r="G27" i="6"/>
  <c r="H27" i="6"/>
  <c r="N32" i="6" l="1"/>
  <c r="D25" i="11" a="1"/>
  <c r="I27" i="6"/>
  <c r="D15" i="11" a="1"/>
  <c r="K20" i="6"/>
  <c r="K18" i="6"/>
  <c r="K19" i="6"/>
  <c r="N29" i="6"/>
  <c r="N27" i="6"/>
  <c r="N28" i="6"/>
  <c r="N30" i="6"/>
  <c r="N31" i="6"/>
  <c r="K16" i="6"/>
  <c r="K21" i="6"/>
  <c r="K17" i="6"/>
  <c r="D29" i="11" l="1"/>
  <c r="D28" i="11"/>
  <c r="G28" i="11" s="1"/>
  <c r="J28" i="11" s="1"/>
  <c r="D27" i="11"/>
  <c r="G27" i="11" s="1"/>
  <c r="J27" i="11" s="1"/>
  <c r="D26" i="11"/>
  <c r="G26" i="11" s="1"/>
  <c r="D25" i="11"/>
  <c r="E25" i="11"/>
  <c r="G25" i="11"/>
  <c r="D15" i="11"/>
  <c r="E15" i="11" s="1"/>
  <c r="G15" i="11" s="1"/>
  <c r="D19" i="11"/>
  <c r="D18" i="11"/>
  <c r="G18" i="11" s="1"/>
  <c r="J18" i="11" s="1"/>
  <c r="D17" i="11"/>
  <c r="G17" i="11" s="1"/>
  <c r="J17" i="11" s="1"/>
  <c r="D16" i="11"/>
  <c r="G16" i="11" s="1"/>
  <c r="E27" i="11" l="1"/>
  <c r="H27" i="11"/>
  <c r="J26" i="11"/>
  <c r="E29" i="11"/>
  <c r="G29" i="11"/>
  <c r="H25" i="11"/>
  <c r="J25" i="11"/>
  <c r="H15" i="11"/>
  <c r="J15" i="11"/>
  <c r="E19" i="11"/>
  <c r="G19" i="11"/>
  <c r="J16" i="11"/>
  <c r="H17" i="11"/>
  <c r="E17" i="11"/>
  <c r="H29" i="11" l="1"/>
  <c r="J29" i="11"/>
  <c r="J31" i="11"/>
  <c r="H19" i="11"/>
  <c r="J19" i="11"/>
  <c r="J20" i="11" s="1"/>
  <c r="J21" i="11"/>
  <c r="J30" i="11" l="1"/>
</calcChain>
</file>

<file path=xl/sharedStrings.xml><?xml version="1.0" encoding="utf-8"?>
<sst xmlns="http://schemas.openxmlformats.org/spreadsheetml/2006/main" count="380" uniqueCount="115">
  <si>
    <t>Manufacturing</t>
  </si>
  <si>
    <t>Inputs</t>
  </si>
  <si>
    <t>Plastic</t>
  </si>
  <si>
    <t>Materials</t>
  </si>
  <si>
    <t>kg</t>
  </si>
  <si>
    <t>Outputs</t>
  </si>
  <si>
    <t>LED (10w) lamp</t>
  </si>
  <si>
    <t xml:space="preserve">item </t>
  </si>
  <si>
    <t>CO2</t>
  </si>
  <si>
    <t>SO2</t>
  </si>
  <si>
    <t>Nox</t>
  </si>
  <si>
    <t>LED 10w Lamp</t>
  </si>
  <si>
    <t>Incandescent Lamp 60w</t>
  </si>
  <si>
    <t>Glass</t>
  </si>
  <si>
    <t>Incand lamp 60w</t>
  </si>
  <si>
    <t>Usage</t>
  </si>
  <si>
    <t>Lumens</t>
  </si>
  <si>
    <t>hours</t>
  </si>
  <si>
    <t>Light output</t>
  </si>
  <si>
    <t>Input</t>
  </si>
  <si>
    <t>kw</t>
  </si>
  <si>
    <t>Electricity</t>
  </si>
  <si>
    <t>kWh</t>
  </si>
  <si>
    <t>Lights</t>
  </si>
  <si>
    <t xml:space="preserve">CO2 </t>
  </si>
  <si>
    <t>Lamp</t>
  </si>
  <si>
    <t>Led Lamp</t>
  </si>
  <si>
    <t>End of Life (Recycle)</t>
  </si>
  <si>
    <t>Led Lamp used</t>
  </si>
  <si>
    <t>kwh</t>
  </si>
  <si>
    <t>Incand Lamp used</t>
  </si>
  <si>
    <t>NOx</t>
  </si>
  <si>
    <t>CH4</t>
  </si>
  <si>
    <t>NH3</t>
  </si>
  <si>
    <t>Funtional Unit</t>
  </si>
  <si>
    <t>Input power</t>
  </si>
  <si>
    <t>hrs</t>
  </si>
  <si>
    <t>Brighness</t>
  </si>
  <si>
    <t>Total hours</t>
  </si>
  <si>
    <t>Number of lamps</t>
  </si>
  <si>
    <t>items</t>
  </si>
  <si>
    <t>Scaling factor</t>
  </si>
  <si>
    <t>Unit process flow</t>
  </si>
  <si>
    <t>Reference flow</t>
  </si>
  <si>
    <t>Manufacture</t>
  </si>
  <si>
    <t>End-of-Life</t>
  </si>
  <si>
    <t>LCI</t>
  </si>
  <si>
    <t>Life span</t>
  </si>
  <si>
    <t>kwH</t>
  </si>
  <si>
    <t>lm</t>
  </si>
  <si>
    <t>PM2.5</t>
  </si>
  <si>
    <t>Unit</t>
  </si>
  <si>
    <t>Case Study:  Comparative LCA study on using LED and Incandescent Lamps</t>
  </si>
  <si>
    <t>Processes and Flows (LED)</t>
  </si>
  <si>
    <t>Life Cycle Inventory Tables</t>
  </si>
  <si>
    <t>Elementary flow</t>
  </si>
  <si>
    <t>Climate Change (GWP100)</t>
  </si>
  <si>
    <t>Fine Particulate Matter Formation</t>
  </si>
  <si>
    <t>Terrestrial Acidification</t>
  </si>
  <si>
    <t>Marine Eutrophication</t>
  </si>
  <si>
    <t>kg CO₂ eq</t>
  </si>
  <si>
    <t>kg PM2.5 eq</t>
  </si>
  <si>
    <t>kg SO₂ eq</t>
  </si>
  <si>
    <t>kg N eq</t>
  </si>
  <si>
    <t>kg NOₓ eq</t>
  </si>
  <si>
    <t>Midpoint Impact Category</t>
  </si>
  <si>
    <t>CC</t>
  </si>
  <si>
    <t>Ozone Formation – Human Health</t>
  </si>
  <si>
    <t>OFH</t>
  </si>
  <si>
    <t>Ozone Formation – Terrestrial Ecosystems</t>
  </si>
  <si>
    <t>OFE</t>
  </si>
  <si>
    <t>ME</t>
  </si>
  <si>
    <t>TA</t>
  </si>
  <si>
    <t>PMF</t>
  </si>
  <si>
    <t>LC inventory</t>
  </si>
  <si>
    <t>2(a)</t>
  </si>
  <si>
    <t>2(b)</t>
  </si>
  <si>
    <t>2(c)</t>
  </si>
  <si>
    <t>Emission/Extraction to Mid Point Characterization Factors</t>
  </si>
  <si>
    <t>Mid-point to End point characterization factors</t>
  </si>
  <si>
    <t>Total</t>
  </si>
  <si>
    <t>DALY</t>
  </si>
  <si>
    <t>USD2013</t>
  </si>
  <si>
    <t>species.yr</t>
  </si>
  <si>
    <t>Endpoint protection</t>
  </si>
  <si>
    <t>Human health</t>
  </si>
  <si>
    <t>Terrestrial ecosystems</t>
  </si>
  <si>
    <t>Freshwater ecosystems</t>
  </si>
  <si>
    <t>Marine ecosystems</t>
  </si>
  <si>
    <t>Resources</t>
  </si>
  <si>
    <t>Endpoint score</t>
  </si>
  <si>
    <t>Mid-Point Category Impact Scores for Incandescent Lamp</t>
  </si>
  <si>
    <t>Mid-Point Category Impact Scores LED lamp</t>
  </si>
  <si>
    <t>End-point scores for LED lamp</t>
  </si>
  <si>
    <t>Processes and Flows for Incandescent Lamp</t>
  </si>
  <si>
    <t>End-point scores for Incandescent Lamp</t>
  </si>
  <si>
    <t>Normalization reference (World, H, 2010)</t>
  </si>
  <si>
    <t>kg CO₂ eq/person·yr</t>
  </si>
  <si>
    <t>kg PM₂.₅ eq/person·yr</t>
  </si>
  <si>
    <t>kg SO₂ eq/person·yr</t>
  </si>
  <si>
    <t>kg N eq/person·yr</t>
  </si>
  <si>
    <t>kg NOₓ eq/person·yr</t>
  </si>
  <si>
    <t>Normalized</t>
  </si>
  <si>
    <t>Endpoint category</t>
  </si>
  <si>
    <t>Human Health</t>
  </si>
  <si>
    <t>Ecosystems</t>
  </si>
  <si>
    <t>Resource Scarcity</t>
  </si>
  <si>
    <t>Midpoint Category</t>
  </si>
  <si>
    <t>DALY/person·yr</t>
  </si>
  <si>
    <t>species·yr/person·yr</t>
  </si>
  <si>
    <t>USD2013/person·yr</t>
  </si>
  <si>
    <t>Weights</t>
  </si>
  <si>
    <t>Weighted</t>
  </si>
  <si>
    <t>chk sum</t>
  </si>
  <si>
    <t>Normalization Reference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</si>
</sst>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000"/>
    <numFmt numFmtId="166" formatCode="0.0000"/>
    <numFmt numFmtId="167" formatCode="0.000000000"/>
    <numFmt numFmtId="168" formatCode="0.00000000"/>
    <numFmt numFmtId="169" formatCode="0.0000000"/>
    <numFmt numFmtId="170" formatCode="0.000E+00"/>
    <numFmt numFmtId="171" formatCode="0.0000E+0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1"/>
      <color theme="1"/>
      <name val="Arial"/>
      <family val="2"/>
    </font>
    <font>
      <b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 indent="3"/>
    </xf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1" fillId="4" borderId="0" xfId="0" applyFont="1" applyFill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164" fontId="1" fillId="5" borderId="1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3" xfId="0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167" fontId="1" fillId="0" borderId="0" xfId="0" applyNumberFormat="1" applyFont="1" applyAlignment="1">
      <alignment vertical="center"/>
    </xf>
    <xf numFmtId="0" fontId="1" fillId="6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166" fontId="1" fillId="7" borderId="1" xfId="0" applyNumberFormat="1" applyFont="1" applyFill="1" applyBorder="1" applyAlignment="1">
      <alignment vertical="center"/>
    </xf>
    <xf numFmtId="170" fontId="1" fillId="7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right" vertical="center"/>
    </xf>
    <xf numFmtId="0" fontId="1" fillId="6" borderId="3" xfId="0" applyFont="1" applyFill="1" applyBorder="1" applyAlignment="1">
      <alignment horizontal="right" vertical="center"/>
    </xf>
    <xf numFmtId="0" fontId="1" fillId="3" borderId="0" xfId="0" applyFont="1" applyFill="1" applyAlignment="1">
      <alignment vertical="center"/>
    </xf>
    <xf numFmtId="169" fontId="1" fillId="7" borderId="1" xfId="0" applyNumberFormat="1" applyFont="1" applyFill="1" applyBorder="1" applyAlignment="1">
      <alignment vertical="center"/>
    </xf>
    <xf numFmtId="11" fontId="1" fillId="7" borderId="1" xfId="0" applyNumberFormat="1" applyFont="1" applyFill="1" applyBorder="1" applyAlignment="1">
      <alignment vertical="center"/>
    </xf>
    <xf numFmtId="169" fontId="1" fillId="5" borderId="1" xfId="0" applyNumberFormat="1" applyFont="1" applyFill="1" applyBorder="1" applyAlignment="1">
      <alignment vertical="center"/>
    </xf>
    <xf numFmtId="170" fontId="1" fillId="5" borderId="1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164" fontId="1" fillId="0" borderId="0" xfId="0" applyNumberFormat="1" applyFont="1" applyAlignment="1">
      <alignment horizontal="left" vertical="center"/>
    </xf>
    <xf numFmtId="168" fontId="1" fillId="7" borderId="1" xfId="0" applyNumberFormat="1" applyFont="1" applyFill="1" applyBorder="1" applyAlignment="1">
      <alignment vertical="center"/>
    </xf>
    <xf numFmtId="167" fontId="1" fillId="0" borderId="4" xfId="0" applyNumberFormat="1" applyFont="1" applyBorder="1" applyAlignment="1">
      <alignment vertical="center"/>
    </xf>
    <xf numFmtId="166" fontId="1" fillId="5" borderId="1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vertical="center"/>
    </xf>
    <xf numFmtId="0" fontId="1" fillId="7" borderId="2" xfId="0" applyFont="1" applyFill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1" fillId="10" borderId="2" xfId="0" applyFont="1" applyFill="1" applyBorder="1" applyAlignment="1">
      <alignment horizontal="center" vertical="center"/>
    </xf>
    <xf numFmtId="170" fontId="1" fillId="10" borderId="1" xfId="0" applyNumberFormat="1" applyFont="1" applyFill="1" applyBorder="1" applyAlignment="1">
      <alignment vertical="center"/>
    </xf>
    <xf numFmtId="0" fontId="8" fillId="0" borderId="0" xfId="0" applyFont="1" applyAlignment="1">
      <alignment wrapText="1"/>
    </xf>
    <xf numFmtId="170" fontId="9" fillId="0" borderId="0" xfId="0" applyNumberFormat="1" applyFont="1"/>
    <xf numFmtId="0" fontId="11" fillId="4" borderId="0" xfId="0" applyFont="1" applyFill="1"/>
    <xf numFmtId="0" fontId="0" fillId="4" borderId="0" xfId="0" applyFill="1"/>
    <xf numFmtId="170" fontId="1" fillId="8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11" fontId="1" fillId="5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/>
    </xf>
    <xf numFmtId="11" fontId="1" fillId="5" borderId="3" xfId="0" applyNumberFormat="1" applyFont="1" applyFill="1" applyBorder="1" applyAlignment="1">
      <alignment horizontal="center" vertical="center"/>
    </xf>
    <xf numFmtId="11" fontId="1" fillId="5" borderId="7" xfId="0" applyNumberFormat="1" applyFont="1" applyFill="1" applyBorder="1" applyAlignment="1">
      <alignment horizontal="center" vertical="center"/>
    </xf>
    <xf numFmtId="0" fontId="0" fillId="5" borderId="3" xfId="0" applyFill="1" applyBorder="1"/>
    <xf numFmtId="0" fontId="1" fillId="5" borderId="5" xfId="0" applyFont="1" applyFill="1" applyBorder="1" applyAlignment="1">
      <alignment vertical="center"/>
    </xf>
    <xf numFmtId="11" fontId="1" fillId="5" borderId="5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vertical="center"/>
    </xf>
    <xf numFmtId="0" fontId="0" fillId="5" borderId="6" xfId="0" applyFill="1" applyBorder="1"/>
    <xf numFmtId="11" fontId="1" fillId="5" borderId="6" xfId="0" applyNumberFormat="1" applyFont="1" applyFill="1" applyBorder="1" applyAlignment="1">
      <alignment horizontal="center" vertical="center"/>
    </xf>
    <xf numFmtId="11" fontId="1" fillId="5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0" fontId="13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/>
    </xf>
    <xf numFmtId="171" fontId="1" fillId="2" borderId="1" xfId="0" applyNumberFormat="1" applyFont="1" applyFill="1" applyBorder="1" applyAlignment="1">
      <alignment horizontal="center" vertical="center"/>
    </xf>
    <xf numFmtId="170" fontId="1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vertical="center" wrapText="1"/>
    </xf>
    <xf numFmtId="0" fontId="14" fillId="5" borderId="1" xfId="0" applyFont="1" applyFill="1" applyBorder="1"/>
    <xf numFmtId="0" fontId="14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1" fontId="13" fillId="5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A138-DA55-4EA9-81C6-DBCB45411206}">
  <dimension ref="A1:K72"/>
  <sheetViews>
    <sheetView tabSelected="1" zoomScale="190" zoomScaleNormal="190" workbookViewId="0">
      <selection activeCell="B69" sqref="B69"/>
    </sheetView>
  </sheetViews>
  <sheetFormatPr defaultColWidth="8.7265625" defaultRowHeight="13" x14ac:dyDescent="0.3"/>
  <cols>
    <col min="1" max="1" width="4.81640625" style="1" customWidth="1"/>
    <col min="2" max="2" width="23.26953125" style="1" customWidth="1"/>
    <col min="3" max="3" width="11.453125" style="1" customWidth="1"/>
    <col min="4" max="4" width="15.453125" style="1" customWidth="1"/>
    <col min="5" max="5" width="14.1796875" style="1" customWidth="1"/>
    <col min="6" max="6" width="12.1796875" style="1" customWidth="1"/>
    <col min="7" max="7" width="11" style="1" customWidth="1"/>
    <col min="8" max="8" width="12" style="1" customWidth="1"/>
    <col min="9" max="16384" width="8.7265625" style="1"/>
  </cols>
  <sheetData>
    <row r="1" spans="1:11" ht="15.5" x14ac:dyDescent="0.3">
      <c r="A1" s="6" t="s">
        <v>52</v>
      </c>
      <c r="B1" s="7"/>
      <c r="C1" s="7"/>
      <c r="D1" s="7"/>
      <c r="E1" s="7"/>
      <c r="F1" s="7"/>
      <c r="G1" s="7"/>
    </row>
    <row r="3" spans="1:11" x14ac:dyDescent="0.3">
      <c r="A3" s="4" t="s">
        <v>34</v>
      </c>
      <c r="B3" s="3"/>
      <c r="C3" s="3"/>
      <c r="D3" s="3"/>
    </row>
    <row r="4" spans="1:11" x14ac:dyDescent="0.3">
      <c r="B4" s="42" t="s">
        <v>38</v>
      </c>
      <c r="C4" s="42" t="s">
        <v>36</v>
      </c>
      <c r="D4" s="42">
        <v>10000</v>
      </c>
      <c r="F4" s="2"/>
    </row>
    <row r="5" spans="1:11" x14ac:dyDescent="0.3">
      <c r="B5" s="42" t="s">
        <v>37</v>
      </c>
      <c r="C5" s="42" t="s">
        <v>49</v>
      </c>
      <c r="D5" s="42">
        <v>800</v>
      </c>
    </row>
    <row r="7" spans="1:11" x14ac:dyDescent="0.3">
      <c r="A7" s="4" t="s">
        <v>11</v>
      </c>
      <c r="B7" s="3"/>
      <c r="C7" s="3"/>
      <c r="D7" s="3"/>
    </row>
    <row r="8" spans="1:11" x14ac:dyDescent="0.3">
      <c r="B8" s="42" t="s">
        <v>35</v>
      </c>
      <c r="C8" s="42" t="s">
        <v>20</v>
      </c>
      <c r="D8" s="42">
        <v>0.01</v>
      </c>
    </row>
    <row r="9" spans="1:11" x14ac:dyDescent="0.3">
      <c r="B9" s="42" t="s">
        <v>18</v>
      </c>
      <c r="C9" s="42" t="s">
        <v>49</v>
      </c>
      <c r="D9" s="42">
        <v>800</v>
      </c>
    </row>
    <row r="10" spans="1:11" x14ac:dyDescent="0.3">
      <c r="B10" s="42" t="s">
        <v>47</v>
      </c>
      <c r="C10" s="42" t="s">
        <v>17</v>
      </c>
      <c r="D10" s="42">
        <v>25000</v>
      </c>
    </row>
    <row r="11" spans="1:11" x14ac:dyDescent="0.3">
      <c r="B11" s="42" t="s">
        <v>39</v>
      </c>
      <c r="C11" s="42" t="s">
        <v>40</v>
      </c>
      <c r="D11" s="42">
        <f>D4/D10</f>
        <v>0.4</v>
      </c>
    </row>
    <row r="14" spans="1:11" ht="15.5" x14ac:dyDescent="0.3">
      <c r="A14" s="47" t="s">
        <v>53</v>
      </c>
      <c r="B14" s="47"/>
      <c r="C14" s="47"/>
      <c r="D14" s="47"/>
      <c r="E14" s="47"/>
    </row>
    <row r="16" spans="1:11" x14ac:dyDescent="0.3">
      <c r="A16" s="13" t="s">
        <v>0</v>
      </c>
      <c r="B16" s="14"/>
      <c r="C16" s="14"/>
      <c r="D16" s="14"/>
      <c r="E16" s="14"/>
      <c r="F16" s="8"/>
      <c r="G16" s="8"/>
      <c r="H16" s="8"/>
      <c r="I16" s="8"/>
      <c r="J16" s="8"/>
      <c r="K16" s="8"/>
    </row>
    <row r="17" spans="1:11" x14ac:dyDescent="0.3">
      <c r="A17" s="8"/>
      <c r="B17" s="15"/>
      <c r="C17" s="15"/>
      <c r="D17" s="33" t="s">
        <v>41</v>
      </c>
      <c r="E17" s="19">
        <f>E23/D23</f>
        <v>0.4</v>
      </c>
      <c r="F17" s="8"/>
      <c r="G17" s="8"/>
      <c r="H17" s="8"/>
      <c r="I17" s="8"/>
      <c r="J17" s="8"/>
      <c r="K17" s="8"/>
    </row>
    <row r="18" spans="1:11" x14ac:dyDescent="0.3">
      <c r="A18" s="22"/>
      <c r="B18" s="22" t="s">
        <v>1</v>
      </c>
      <c r="C18" s="23" t="s">
        <v>51</v>
      </c>
      <c r="D18" s="22" t="s">
        <v>42</v>
      </c>
      <c r="E18" s="23" t="s">
        <v>43</v>
      </c>
      <c r="F18" s="8"/>
      <c r="G18" s="8"/>
      <c r="H18" s="8"/>
      <c r="I18" s="8"/>
      <c r="J18" s="8"/>
      <c r="K18" s="8"/>
    </row>
    <row r="19" spans="1:11" x14ac:dyDescent="0.3">
      <c r="A19" s="10">
        <v>1</v>
      </c>
      <c r="B19" s="11" t="s">
        <v>3</v>
      </c>
      <c r="C19" s="10" t="s">
        <v>4</v>
      </c>
      <c r="D19" s="12">
        <v>0.1</v>
      </c>
      <c r="E19" s="11">
        <f>$E$17*D19</f>
        <v>4.0000000000000008E-2</v>
      </c>
      <c r="F19" s="8"/>
      <c r="G19" s="8"/>
      <c r="H19" s="8"/>
      <c r="I19" s="8"/>
      <c r="J19" s="8"/>
      <c r="K19" s="8"/>
    </row>
    <row r="20" spans="1:11" x14ac:dyDescent="0.3">
      <c r="A20" s="10">
        <v>2</v>
      </c>
      <c r="B20" s="11" t="s">
        <v>2</v>
      </c>
      <c r="C20" s="10" t="s">
        <v>4</v>
      </c>
      <c r="D20" s="11">
        <v>2.5000000000000001E-2</v>
      </c>
      <c r="E20" s="11">
        <f t="shared" ref="E20:E21" si="0">$E$17*D20</f>
        <v>1.0000000000000002E-2</v>
      </c>
      <c r="F20" s="8"/>
      <c r="G20" s="8"/>
      <c r="H20" s="8"/>
      <c r="I20" s="8"/>
      <c r="J20" s="8"/>
      <c r="K20" s="8"/>
    </row>
    <row r="21" spans="1:11" x14ac:dyDescent="0.3">
      <c r="A21" s="10">
        <v>3</v>
      </c>
      <c r="B21" s="11" t="s">
        <v>21</v>
      </c>
      <c r="C21" s="10" t="s">
        <v>22</v>
      </c>
      <c r="D21" s="12">
        <v>8.34</v>
      </c>
      <c r="E21" s="11">
        <f t="shared" si="0"/>
        <v>3.3360000000000003</v>
      </c>
      <c r="F21" s="8"/>
      <c r="G21" s="8"/>
      <c r="H21" s="8"/>
      <c r="I21" s="8"/>
      <c r="J21" s="8"/>
      <c r="K21" s="8"/>
    </row>
    <row r="22" spans="1:11" x14ac:dyDescent="0.3">
      <c r="A22" s="21"/>
      <c r="B22" s="20" t="s">
        <v>5</v>
      </c>
      <c r="C22" s="5"/>
      <c r="D22" s="9"/>
      <c r="E22" s="9"/>
      <c r="F22" s="8"/>
      <c r="G22" s="8"/>
      <c r="H22" s="8"/>
      <c r="I22" s="8"/>
      <c r="J22" s="8"/>
      <c r="K22" s="8"/>
    </row>
    <row r="23" spans="1:11" x14ac:dyDescent="0.3">
      <c r="A23" s="24"/>
      <c r="B23" s="26" t="s">
        <v>6</v>
      </c>
      <c r="C23" s="24" t="s">
        <v>7</v>
      </c>
      <c r="D23" s="25">
        <v>1</v>
      </c>
      <c r="E23" s="25">
        <f>D11</f>
        <v>0.4</v>
      </c>
      <c r="F23" s="8"/>
      <c r="G23" s="8"/>
      <c r="H23" s="8"/>
      <c r="I23" s="8"/>
      <c r="J23" s="8"/>
      <c r="K23" s="8"/>
    </row>
    <row r="24" spans="1:11" x14ac:dyDescent="0.3">
      <c r="A24" s="27">
        <v>1</v>
      </c>
      <c r="B24" s="28" t="s">
        <v>8</v>
      </c>
      <c r="C24" s="27" t="s">
        <v>4</v>
      </c>
      <c r="D24" s="29">
        <v>1.8</v>
      </c>
      <c r="E24" s="30">
        <f>$E$17*D24</f>
        <v>0.72000000000000008</v>
      </c>
      <c r="F24" s="8"/>
      <c r="G24" s="8"/>
      <c r="H24" s="8"/>
      <c r="I24" s="8"/>
      <c r="J24" s="8"/>
      <c r="K24" s="8"/>
    </row>
    <row r="25" spans="1:11" x14ac:dyDescent="0.3">
      <c r="A25" s="27">
        <v>2</v>
      </c>
      <c r="B25" s="28" t="s">
        <v>32</v>
      </c>
      <c r="C25" s="27" t="s">
        <v>4</v>
      </c>
      <c r="D25" s="29">
        <v>3.0000000000000001E-3</v>
      </c>
      <c r="E25" s="30">
        <f t="shared" ref="E25:E29" si="1">$E$17*D25</f>
        <v>1.2000000000000001E-3</v>
      </c>
      <c r="F25" s="16"/>
      <c r="G25" s="8"/>
      <c r="H25" s="8"/>
      <c r="I25" s="8"/>
      <c r="J25" s="8"/>
      <c r="K25" s="8"/>
    </row>
    <row r="26" spans="1:11" x14ac:dyDescent="0.3">
      <c r="A26" s="27">
        <v>3</v>
      </c>
      <c r="B26" s="28" t="s">
        <v>33</v>
      </c>
      <c r="C26" s="27" t="s">
        <v>4</v>
      </c>
      <c r="D26" s="29">
        <v>6.0000000000000006E-4</v>
      </c>
      <c r="E26" s="30">
        <f t="shared" si="1"/>
        <v>2.4000000000000003E-4</v>
      </c>
      <c r="F26" s="16"/>
      <c r="G26" s="8"/>
      <c r="H26" s="8"/>
      <c r="I26" s="8"/>
      <c r="J26" s="8"/>
      <c r="K26" s="8"/>
    </row>
    <row r="27" spans="1:11" x14ac:dyDescent="0.3">
      <c r="A27" s="27">
        <v>4</v>
      </c>
      <c r="B27" s="28" t="s">
        <v>9</v>
      </c>
      <c r="C27" s="27" t="s">
        <v>4</v>
      </c>
      <c r="D27" s="29">
        <v>8.5000000000000006E-3</v>
      </c>
      <c r="E27" s="30">
        <f t="shared" si="1"/>
        <v>3.4000000000000002E-3</v>
      </c>
      <c r="F27" s="8"/>
      <c r="G27" s="8"/>
      <c r="H27" s="8"/>
      <c r="I27" s="8"/>
      <c r="J27" s="8"/>
      <c r="K27" s="8"/>
    </row>
    <row r="28" spans="1:11" x14ac:dyDescent="0.3">
      <c r="A28" s="27">
        <v>5</v>
      </c>
      <c r="B28" s="28" t="s">
        <v>31</v>
      </c>
      <c r="C28" s="27" t="s">
        <v>4</v>
      </c>
      <c r="D28" s="29">
        <v>6.1999999999999998E-3</v>
      </c>
      <c r="E28" s="30">
        <f t="shared" si="1"/>
        <v>2.48E-3</v>
      </c>
      <c r="F28" s="8"/>
      <c r="G28" s="8"/>
      <c r="H28" s="8"/>
      <c r="I28" s="8"/>
      <c r="J28" s="8"/>
      <c r="K28" s="8"/>
    </row>
    <row r="29" spans="1:11" x14ac:dyDescent="0.3">
      <c r="A29" s="27">
        <v>6</v>
      </c>
      <c r="B29" s="28" t="s">
        <v>50</v>
      </c>
      <c r="C29" s="27" t="s">
        <v>4</v>
      </c>
      <c r="D29" s="29">
        <v>1.1000000000000001E-3</v>
      </c>
      <c r="E29" s="30">
        <f t="shared" si="1"/>
        <v>4.4000000000000007E-4</v>
      </c>
      <c r="F29" s="8"/>
      <c r="G29" s="8"/>
      <c r="H29" s="8"/>
      <c r="I29" s="8"/>
      <c r="J29" s="8"/>
      <c r="K29" s="8"/>
    </row>
    <row r="30" spans="1:1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x14ac:dyDescent="0.3">
      <c r="A31" s="13" t="s">
        <v>15</v>
      </c>
      <c r="B31" s="14"/>
      <c r="C31" s="14"/>
      <c r="D31" s="14"/>
      <c r="E31" s="14"/>
      <c r="F31" s="8"/>
      <c r="G31" s="8"/>
      <c r="H31" s="8"/>
      <c r="I31" s="8"/>
      <c r="J31" s="8"/>
      <c r="K31" s="8"/>
    </row>
    <row r="32" spans="1:11" x14ac:dyDescent="0.3">
      <c r="A32" s="9"/>
      <c r="B32" s="9"/>
      <c r="C32" s="9"/>
      <c r="D32" s="32" t="s">
        <v>41</v>
      </c>
      <c r="E32" s="32">
        <f>E34/D34</f>
        <v>0.4</v>
      </c>
      <c r="F32" s="8"/>
      <c r="G32" s="8"/>
      <c r="H32" s="8"/>
      <c r="I32" s="8"/>
      <c r="J32" s="8"/>
      <c r="K32" s="8"/>
    </row>
    <row r="33" spans="1:11" x14ac:dyDescent="0.3">
      <c r="A33" s="20"/>
      <c r="B33" s="20" t="s">
        <v>1</v>
      </c>
      <c r="C33" s="21" t="s">
        <v>51</v>
      </c>
      <c r="D33" s="20" t="s">
        <v>42</v>
      </c>
      <c r="E33" s="21" t="s">
        <v>43</v>
      </c>
      <c r="F33" s="8"/>
      <c r="G33" s="8"/>
      <c r="H33" s="8"/>
      <c r="I33" s="8"/>
      <c r="J33" s="8"/>
      <c r="K33" s="8"/>
    </row>
    <row r="34" spans="1:11" x14ac:dyDescent="0.3">
      <c r="A34" s="10">
        <v>1</v>
      </c>
      <c r="B34" s="11" t="s">
        <v>26</v>
      </c>
      <c r="C34" s="10" t="s">
        <v>7</v>
      </c>
      <c r="D34" s="11">
        <v>1</v>
      </c>
      <c r="E34" s="11">
        <f>D11</f>
        <v>0.4</v>
      </c>
      <c r="F34" s="8"/>
      <c r="G34" s="8"/>
      <c r="H34" s="8"/>
      <c r="I34" s="8"/>
      <c r="J34" s="8"/>
      <c r="K34" s="8"/>
    </row>
    <row r="35" spans="1:11" x14ac:dyDescent="0.3">
      <c r="A35" s="10">
        <v>2</v>
      </c>
      <c r="B35" s="11" t="s">
        <v>21</v>
      </c>
      <c r="C35" s="10" t="s">
        <v>22</v>
      </c>
      <c r="D35" s="11">
        <f>D8*D10</f>
        <v>250</v>
      </c>
      <c r="E35" s="11">
        <f>$E$32*D35</f>
        <v>100</v>
      </c>
      <c r="F35" s="8"/>
      <c r="G35" s="8"/>
      <c r="H35" s="8"/>
      <c r="I35" s="8"/>
      <c r="J35" s="8"/>
      <c r="K35" s="8"/>
    </row>
    <row r="36" spans="1:11" x14ac:dyDescent="0.3">
      <c r="A36" s="21"/>
      <c r="B36" s="20" t="s">
        <v>5</v>
      </c>
      <c r="C36" s="5"/>
      <c r="D36" s="9"/>
      <c r="E36" s="9"/>
      <c r="F36" s="8"/>
      <c r="G36" s="8"/>
      <c r="H36" s="8"/>
      <c r="I36" s="8"/>
      <c r="J36" s="8"/>
      <c r="K36" s="8"/>
    </row>
    <row r="37" spans="1:11" x14ac:dyDescent="0.3">
      <c r="A37" s="41"/>
      <c r="B37" s="26" t="s">
        <v>23</v>
      </c>
      <c r="C37" s="41" t="s">
        <v>17</v>
      </c>
      <c r="D37" s="26">
        <f>D10</f>
        <v>25000</v>
      </c>
      <c r="E37" s="26">
        <f>$E$32*D37</f>
        <v>10000</v>
      </c>
      <c r="F37" s="8"/>
      <c r="G37" s="8"/>
      <c r="H37" s="8"/>
      <c r="I37" s="8"/>
      <c r="J37" s="8"/>
      <c r="K37" s="8"/>
    </row>
    <row r="38" spans="1:11" x14ac:dyDescent="0.3">
      <c r="A38" s="27">
        <v>1</v>
      </c>
      <c r="B38" s="28" t="s">
        <v>24</v>
      </c>
      <c r="C38" s="27" t="s">
        <v>4</v>
      </c>
      <c r="D38" s="29">
        <v>118.75</v>
      </c>
      <c r="E38" s="30">
        <f t="shared" ref="E38:E43" si="2">$E$32*D38</f>
        <v>47.5</v>
      </c>
      <c r="F38" s="8"/>
      <c r="G38" s="8"/>
      <c r="H38" s="8"/>
      <c r="I38" s="8"/>
      <c r="J38" s="8"/>
      <c r="K38" s="8"/>
    </row>
    <row r="39" spans="1:11" x14ac:dyDescent="0.3">
      <c r="A39" s="27">
        <v>2</v>
      </c>
      <c r="B39" s="28" t="s">
        <v>32</v>
      </c>
      <c r="C39" s="27" t="s">
        <v>4</v>
      </c>
      <c r="D39" s="29">
        <v>2.5000000000000001E-2</v>
      </c>
      <c r="E39" s="30">
        <f t="shared" si="2"/>
        <v>1.0000000000000002E-2</v>
      </c>
      <c r="F39" s="16"/>
      <c r="G39" s="8"/>
      <c r="H39" s="8"/>
      <c r="I39" s="8"/>
      <c r="J39" s="8"/>
      <c r="K39" s="8"/>
    </row>
    <row r="40" spans="1:11" x14ac:dyDescent="0.3">
      <c r="A40" s="27">
        <v>3</v>
      </c>
      <c r="B40" s="28" t="s">
        <v>33</v>
      </c>
      <c r="C40" s="27" t="s">
        <v>4</v>
      </c>
      <c r="D40" s="29">
        <v>5.0000000000000001E-3</v>
      </c>
      <c r="E40" s="30">
        <f t="shared" si="2"/>
        <v>2E-3</v>
      </c>
      <c r="F40" s="16"/>
      <c r="G40" s="8"/>
      <c r="H40" s="8"/>
      <c r="I40" s="8"/>
      <c r="J40" s="8"/>
      <c r="K40" s="8"/>
    </row>
    <row r="41" spans="1:11" x14ac:dyDescent="0.3">
      <c r="A41" s="27">
        <v>4</v>
      </c>
      <c r="B41" s="28" t="s">
        <v>9</v>
      </c>
      <c r="C41" s="27" t="s">
        <v>4</v>
      </c>
      <c r="D41" s="29">
        <v>0.6</v>
      </c>
      <c r="E41" s="30">
        <f t="shared" si="2"/>
        <v>0.24</v>
      </c>
      <c r="F41" s="8"/>
      <c r="G41" s="8"/>
      <c r="H41" s="8"/>
      <c r="I41" s="8"/>
      <c r="J41" s="8"/>
      <c r="K41" s="8"/>
    </row>
    <row r="42" spans="1:11" x14ac:dyDescent="0.3">
      <c r="A42" s="27">
        <v>5</v>
      </c>
      <c r="B42" s="28" t="s">
        <v>31</v>
      </c>
      <c r="C42" s="27" t="s">
        <v>4</v>
      </c>
      <c r="D42" s="29">
        <v>0.47499999999999998</v>
      </c>
      <c r="E42" s="30">
        <f t="shared" si="2"/>
        <v>0.19</v>
      </c>
      <c r="F42" s="8"/>
      <c r="G42" s="8"/>
      <c r="H42" s="8"/>
      <c r="I42" s="8"/>
      <c r="J42" s="8"/>
      <c r="K42" s="8"/>
    </row>
    <row r="43" spans="1:11" x14ac:dyDescent="0.3">
      <c r="A43" s="27">
        <v>6</v>
      </c>
      <c r="B43" s="28" t="s">
        <v>50</v>
      </c>
      <c r="C43" s="27" t="s">
        <v>4</v>
      </c>
      <c r="D43" s="29">
        <v>6.25E-2</v>
      </c>
      <c r="E43" s="30">
        <f t="shared" si="2"/>
        <v>2.5000000000000001E-2</v>
      </c>
      <c r="F43" s="8"/>
      <c r="G43" s="8"/>
      <c r="H43" s="8"/>
      <c r="I43" s="8"/>
      <c r="J43" s="8"/>
      <c r="K43" s="8"/>
    </row>
    <row r="44" spans="1:1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x14ac:dyDescent="0.3">
      <c r="A45" s="17" t="s">
        <v>27</v>
      </c>
      <c r="B45" s="17"/>
      <c r="C45" s="17"/>
      <c r="D45" s="17"/>
      <c r="E45" s="17"/>
      <c r="F45" s="8"/>
      <c r="G45" s="8"/>
      <c r="H45" s="8"/>
      <c r="I45" s="8"/>
      <c r="J45" s="8"/>
      <c r="K45" s="8"/>
    </row>
    <row r="46" spans="1:11" x14ac:dyDescent="0.3">
      <c r="A46" s="9"/>
      <c r="B46" s="9"/>
      <c r="C46" s="5"/>
      <c r="D46" s="32" t="s">
        <v>41</v>
      </c>
      <c r="E46" s="31">
        <f>E48/D48</f>
        <v>0.4</v>
      </c>
      <c r="F46" s="8"/>
      <c r="G46" s="8"/>
      <c r="H46" s="8"/>
      <c r="I46" s="8"/>
      <c r="J46" s="8"/>
      <c r="K46" s="8"/>
    </row>
    <row r="47" spans="1:11" x14ac:dyDescent="0.3">
      <c r="A47" s="34"/>
      <c r="B47" s="39" t="s">
        <v>1</v>
      </c>
      <c r="C47" s="40"/>
      <c r="D47" s="39" t="s">
        <v>42</v>
      </c>
      <c r="E47" s="40" t="s">
        <v>43</v>
      </c>
      <c r="F47" s="8"/>
      <c r="G47" s="8"/>
      <c r="H47" s="8"/>
      <c r="I47" s="8"/>
      <c r="J47" s="8"/>
      <c r="K47" s="8"/>
    </row>
    <row r="48" spans="1:11" x14ac:dyDescent="0.3">
      <c r="A48" s="10">
        <v>1</v>
      </c>
      <c r="B48" s="11" t="s">
        <v>28</v>
      </c>
      <c r="C48" s="10" t="s">
        <v>7</v>
      </c>
      <c r="D48" s="11">
        <v>1</v>
      </c>
      <c r="E48" s="11">
        <f>D11</f>
        <v>0.4</v>
      </c>
      <c r="F48" s="8"/>
      <c r="G48" s="8"/>
      <c r="H48" s="8"/>
      <c r="I48" s="8"/>
      <c r="J48" s="8"/>
      <c r="K48" s="8"/>
    </row>
    <row r="49" spans="1:11" x14ac:dyDescent="0.3">
      <c r="A49" s="10">
        <v>2</v>
      </c>
      <c r="B49" s="11" t="s">
        <v>21</v>
      </c>
      <c r="C49" s="10" t="s">
        <v>29</v>
      </c>
      <c r="D49" s="37">
        <v>0.36</v>
      </c>
      <c r="E49" s="38">
        <f>$E$46*D49</f>
        <v>0.14399999999999999</v>
      </c>
      <c r="F49" s="8"/>
      <c r="G49" s="8"/>
      <c r="H49" s="8"/>
      <c r="I49" s="8"/>
      <c r="J49" s="8"/>
      <c r="K49" s="8"/>
    </row>
    <row r="50" spans="1:11" x14ac:dyDescent="0.3">
      <c r="A50" s="21"/>
      <c r="B50" s="20" t="s">
        <v>5</v>
      </c>
      <c r="C50" s="5"/>
      <c r="D50" s="9"/>
      <c r="E50" s="9"/>
      <c r="F50" s="8"/>
      <c r="G50" s="8"/>
      <c r="H50" s="8"/>
      <c r="I50" s="8"/>
      <c r="J50" s="8"/>
      <c r="K50" s="8"/>
    </row>
    <row r="51" spans="1:11" x14ac:dyDescent="0.3">
      <c r="A51" s="27">
        <v>1</v>
      </c>
      <c r="B51" s="28" t="s">
        <v>24</v>
      </c>
      <c r="C51" s="27" t="s">
        <v>4</v>
      </c>
      <c r="D51" s="35">
        <v>0.17099999999999999</v>
      </c>
      <c r="E51" s="30">
        <f>$E$46*D51</f>
        <v>6.8400000000000002E-2</v>
      </c>
      <c r="F51" s="8"/>
      <c r="G51" s="8"/>
      <c r="H51" s="8"/>
      <c r="I51" s="8"/>
      <c r="J51" s="8"/>
      <c r="K51" s="8"/>
    </row>
    <row r="52" spans="1:11" x14ac:dyDescent="0.3">
      <c r="A52" s="27">
        <v>2</v>
      </c>
      <c r="B52" s="28" t="s">
        <v>32</v>
      </c>
      <c r="C52" s="27" t="s">
        <v>4</v>
      </c>
      <c r="D52" s="35">
        <v>3.6000000000000001E-5</v>
      </c>
      <c r="E52" s="30">
        <f t="shared" ref="E52:E56" si="3">$E$46*D52</f>
        <v>1.4400000000000001E-5</v>
      </c>
      <c r="F52" s="18"/>
      <c r="G52" s="8"/>
      <c r="H52" s="8"/>
      <c r="I52" s="8"/>
      <c r="J52" s="8"/>
      <c r="K52" s="8"/>
    </row>
    <row r="53" spans="1:11" x14ac:dyDescent="0.3">
      <c r="A53" s="27">
        <v>3</v>
      </c>
      <c r="B53" s="28" t="s">
        <v>33</v>
      </c>
      <c r="C53" s="27" t="s">
        <v>4</v>
      </c>
      <c r="D53" s="35">
        <v>7.2000000000000005E-6</v>
      </c>
      <c r="E53" s="30">
        <f t="shared" si="3"/>
        <v>2.8800000000000004E-6</v>
      </c>
      <c r="F53" s="18"/>
      <c r="G53" s="8"/>
      <c r="H53" s="8"/>
      <c r="I53" s="8"/>
      <c r="J53" s="8"/>
      <c r="K53" s="8"/>
    </row>
    <row r="54" spans="1:11" x14ac:dyDescent="0.3">
      <c r="A54" s="27">
        <v>4</v>
      </c>
      <c r="B54" s="28" t="s">
        <v>9</v>
      </c>
      <c r="C54" s="27" t="s">
        <v>4</v>
      </c>
      <c r="D54" s="35">
        <v>8.6399999999999986E-4</v>
      </c>
      <c r="E54" s="30">
        <f t="shared" si="3"/>
        <v>3.4559999999999994E-4</v>
      </c>
      <c r="F54" s="8"/>
      <c r="G54" s="8"/>
      <c r="H54" s="8"/>
      <c r="I54" s="8"/>
      <c r="J54" s="8"/>
      <c r="K54" s="8"/>
    </row>
    <row r="55" spans="1:11" x14ac:dyDescent="0.3">
      <c r="A55" s="27">
        <v>5</v>
      </c>
      <c r="B55" s="28" t="s">
        <v>31</v>
      </c>
      <c r="C55" s="27" t="s">
        <v>4</v>
      </c>
      <c r="D55" s="35">
        <v>6.8399999999999993E-4</v>
      </c>
      <c r="E55" s="30">
        <f t="shared" si="3"/>
        <v>2.7359999999999998E-4</v>
      </c>
      <c r="F55" s="8"/>
      <c r="G55" s="8"/>
      <c r="H55" s="8"/>
      <c r="I55" s="8"/>
      <c r="J55" s="8"/>
      <c r="K55" s="8"/>
    </row>
    <row r="56" spans="1:11" x14ac:dyDescent="0.3">
      <c r="A56" s="27">
        <v>6</v>
      </c>
      <c r="B56" s="28" t="s">
        <v>50</v>
      </c>
      <c r="C56" s="27" t="s">
        <v>4</v>
      </c>
      <c r="D56" s="36">
        <v>5.0000000000000004E-6</v>
      </c>
      <c r="E56" s="30">
        <f t="shared" si="3"/>
        <v>2.0000000000000003E-6</v>
      </c>
      <c r="F56" s="8"/>
      <c r="G56" s="8"/>
      <c r="H56" s="8"/>
      <c r="I56" s="8"/>
      <c r="J56" s="8"/>
      <c r="K56" s="8"/>
    </row>
    <row r="57" spans="1:1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ht="15.5" x14ac:dyDescent="0.35">
      <c r="A59" s="48" t="s">
        <v>54</v>
      </c>
      <c r="B59" s="48"/>
      <c r="C59" s="48"/>
      <c r="D59" s="48"/>
      <c r="E59" s="48"/>
      <c r="F59" s="48"/>
      <c r="G59" s="48"/>
      <c r="H59" s="8"/>
      <c r="I59" s="8"/>
      <c r="J59" s="8"/>
      <c r="K59" s="8"/>
    </row>
    <row r="60" spans="1:1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9"/>
      <c r="B61" s="49" t="s">
        <v>55</v>
      </c>
      <c r="C61" s="23"/>
      <c r="D61" s="23" t="s">
        <v>44</v>
      </c>
      <c r="E61" s="23" t="s">
        <v>15</v>
      </c>
      <c r="F61" s="23" t="s">
        <v>45</v>
      </c>
      <c r="G61" s="23" t="s">
        <v>46</v>
      </c>
      <c r="H61" s="8"/>
      <c r="I61" s="8"/>
      <c r="J61" s="8"/>
      <c r="K61" s="8"/>
    </row>
    <row r="62" spans="1:11" x14ac:dyDescent="0.3">
      <c r="A62" s="27">
        <v>1</v>
      </c>
      <c r="B62" s="28" t="s">
        <v>24</v>
      </c>
      <c r="C62" s="27" t="s">
        <v>4</v>
      </c>
      <c r="D62" s="30">
        <f t="shared" ref="D62:D67" si="4">E24</f>
        <v>0.72000000000000008</v>
      </c>
      <c r="E62" s="30">
        <f t="shared" ref="E62:E67" si="5">E38</f>
        <v>47.5</v>
      </c>
      <c r="F62" s="30">
        <f t="shared" ref="F62:F67" si="6">E51</f>
        <v>6.8400000000000002E-2</v>
      </c>
      <c r="G62" s="30">
        <f>SUM(D62:F62)</f>
        <v>48.288399999999996</v>
      </c>
      <c r="H62" s="8"/>
      <c r="I62" s="8"/>
      <c r="J62" s="8"/>
      <c r="K62" s="8"/>
    </row>
    <row r="63" spans="1:11" x14ac:dyDescent="0.3">
      <c r="A63" s="27">
        <v>2</v>
      </c>
      <c r="B63" s="28" t="s">
        <v>32</v>
      </c>
      <c r="C63" s="27" t="s">
        <v>4</v>
      </c>
      <c r="D63" s="30">
        <f t="shared" si="4"/>
        <v>1.2000000000000001E-3</v>
      </c>
      <c r="E63" s="30">
        <f t="shared" si="5"/>
        <v>1.0000000000000002E-2</v>
      </c>
      <c r="F63" s="30">
        <f t="shared" si="6"/>
        <v>1.4400000000000001E-5</v>
      </c>
      <c r="G63" s="30">
        <f t="shared" ref="G63:G68" si="7">SUM(D63:F63)</f>
        <v>1.1214400000000001E-2</v>
      </c>
      <c r="H63" s="8"/>
      <c r="I63" s="8"/>
      <c r="J63" s="8"/>
      <c r="K63" s="8"/>
    </row>
    <row r="64" spans="1:11" x14ac:dyDescent="0.3">
      <c r="A64" s="27">
        <v>3</v>
      </c>
      <c r="B64" s="28" t="s">
        <v>33</v>
      </c>
      <c r="C64" s="27" t="s">
        <v>4</v>
      </c>
      <c r="D64" s="30">
        <f t="shared" si="4"/>
        <v>2.4000000000000003E-4</v>
      </c>
      <c r="E64" s="30">
        <f t="shared" si="5"/>
        <v>2E-3</v>
      </c>
      <c r="F64" s="30">
        <f t="shared" si="6"/>
        <v>2.8800000000000004E-6</v>
      </c>
      <c r="G64" s="30">
        <f t="shared" si="7"/>
        <v>2.24288E-3</v>
      </c>
      <c r="H64" s="8"/>
      <c r="I64" s="8"/>
      <c r="J64" s="8"/>
      <c r="K64" s="8"/>
    </row>
    <row r="65" spans="1:11" x14ac:dyDescent="0.3">
      <c r="A65" s="27">
        <v>4</v>
      </c>
      <c r="B65" s="28" t="s">
        <v>9</v>
      </c>
      <c r="C65" s="27" t="s">
        <v>4</v>
      </c>
      <c r="D65" s="30">
        <f t="shared" si="4"/>
        <v>3.4000000000000002E-3</v>
      </c>
      <c r="E65" s="30">
        <f t="shared" si="5"/>
        <v>0.24</v>
      </c>
      <c r="F65" s="30">
        <f t="shared" si="6"/>
        <v>3.4559999999999994E-4</v>
      </c>
      <c r="G65" s="30">
        <f t="shared" si="7"/>
        <v>0.24374560000000001</v>
      </c>
      <c r="H65" s="8"/>
      <c r="I65" s="8"/>
      <c r="J65" s="8"/>
      <c r="K65" s="8"/>
    </row>
    <row r="66" spans="1:11" x14ac:dyDescent="0.3">
      <c r="A66" s="27">
        <v>5</v>
      </c>
      <c r="B66" s="28" t="s">
        <v>31</v>
      </c>
      <c r="C66" s="27" t="s">
        <v>4</v>
      </c>
      <c r="D66" s="30">
        <f t="shared" si="4"/>
        <v>2.48E-3</v>
      </c>
      <c r="E66" s="30">
        <f t="shared" si="5"/>
        <v>0.19</v>
      </c>
      <c r="F66" s="30">
        <f t="shared" si="6"/>
        <v>2.7359999999999998E-4</v>
      </c>
      <c r="G66" s="30">
        <f t="shared" si="7"/>
        <v>0.19275360000000002</v>
      </c>
      <c r="H66" s="8"/>
      <c r="I66" s="8"/>
      <c r="J66" s="8"/>
      <c r="K66" s="8"/>
    </row>
    <row r="67" spans="1:11" x14ac:dyDescent="0.3">
      <c r="A67" s="27">
        <v>6</v>
      </c>
      <c r="B67" s="28" t="s">
        <v>50</v>
      </c>
      <c r="C67" s="27" t="s">
        <v>4</v>
      </c>
      <c r="D67" s="30">
        <f t="shared" si="4"/>
        <v>4.4000000000000007E-4</v>
      </c>
      <c r="E67" s="30">
        <f t="shared" si="5"/>
        <v>2.5000000000000001E-2</v>
      </c>
      <c r="F67" s="30">
        <f t="shared" si="6"/>
        <v>2.0000000000000003E-6</v>
      </c>
      <c r="G67" s="30">
        <f t="shared" si="7"/>
        <v>2.5441999999999999E-2</v>
      </c>
      <c r="H67" s="8"/>
      <c r="I67" s="8"/>
      <c r="J67" s="8"/>
      <c r="K67" s="8"/>
    </row>
    <row r="68" spans="1:11" x14ac:dyDescent="0.3">
      <c r="A68" s="10">
        <v>7</v>
      </c>
      <c r="B68" s="11" t="s">
        <v>21</v>
      </c>
      <c r="C68" s="10" t="s">
        <v>29</v>
      </c>
      <c r="D68" s="38">
        <f>E21</f>
        <v>3.3360000000000003</v>
      </c>
      <c r="E68" s="38">
        <f>E35</f>
        <v>100</v>
      </c>
      <c r="F68" s="38">
        <f>E49</f>
        <v>0.14399999999999999</v>
      </c>
      <c r="G68" s="38">
        <f t="shared" si="7"/>
        <v>103.48</v>
      </c>
      <c r="H68" s="8"/>
      <c r="I68" s="8"/>
      <c r="J68" s="8"/>
      <c r="K68" s="8"/>
    </row>
    <row r="69" spans="1:1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B23C-CF03-4B84-AC27-64B1E4E83D0E}">
  <dimension ref="A1:J76"/>
  <sheetViews>
    <sheetView zoomScale="190" zoomScaleNormal="190" workbookViewId="0">
      <selection activeCell="B69" sqref="B69"/>
    </sheetView>
  </sheetViews>
  <sheetFormatPr defaultColWidth="8.7265625" defaultRowHeight="13" x14ac:dyDescent="0.3"/>
  <cols>
    <col min="1" max="1" width="4" style="1" customWidth="1"/>
    <col min="2" max="2" width="16.26953125" style="1" customWidth="1"/>
    <col min="3" max="3" width="10.54296875" style="1" customWidth="1"/>
    <col min="4" max="4" width="15" style="1" customWidth="1"/>
    <col min="5" max="5" width="13.54296875" style="1" customWidth="1"/>
    <col min="6" max="6" width="11.453125" style="1" customWidth="1"/>
    <col min="7" max="7" width="10.81640625" style="1" customWidth="1"/>
    <col min="8" max="16384" width="8.7265625" style="1"/>
  </cols>
  <sheetData>
    <row r="1" spans="1:10" ht="15.5" x14ac:dyDescent="0.3">
      <c r="A1" s="6" t="s">
        <v>52</v>
      </c>
      <c r="B1" s="7"/>
      <c r="C1" s="7"/>
      <c r="D1" s="7"/>
      <c r="E1" s="7"/>
      <c r="F1" s="7"/>
      <c r="G1" s="7"/>
      <c r="H1" s="8"/>
      <c r="I1" s="8"/>
      <c r="J1" s="8"/>
    </row>
    <row r="2" spans="1:10" x14ac:dyDescent="0.3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x14ac:dyDescent="0.3">
      <c r="A3" s="13" t="s">
        <v>34</v>
      </c>
      <c r="B3" s="14"/>
      <c r="C3" s="14"/>
      <c r="D3" s="14"/>
      <c r="E3" s="8"/>
      <c r="F3" s="8"/>
      <c r="G3" s="8"/>
      <c r="H3" s="8"/>
      <c r="I3" s="8"/>
      <c r="J3" s="8"/>
    </row>
    <row r="4" spans="1:10" x14ac:dyDescent="0.3">
      <c r="A4" s="8"/>
      <c r="B4" s="28" t="s">
        <v>38</v>
      </c>
      <c r="C4" s="28" t="s">
        <v>36</v>
      </c>
      <c r="D4" s="28">
        <v>10000</v>
      </c>
      <c r="E4" s="8"/>
      <c r="F4" s="43"/>
      <c r="G4" s="8"/>
      <c r="H4" s="8"/>
      <c r="I4" s="8"/>
      <c r="J4" s="8"/>
    </row>
    <row r="5" spans="1:10" x14ac:dyDescent="0.3">
      <c r="A5" s="8"/>
      <c r="B5" s="28" t="s">
        <v>37</v>
      </c>
      <c r="C5" s="28" t="s">
        <v>49</v>
      </c>
      <c r="D5" s="28">
        <v>800</v>
      </c>
      <c r="E5" s="8"/>
      <c r="F5" s="8"/>
      <c r="G5" s="8"/>
      <c r="H5" s="8"/>
      <c r="I5" s="8"/>
      <c r="J5" s="8"/>
    </row>
    <row r="6" spans="1:10" x14ac:dyDescent="0.3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x14ac:dyDescent="0.3">
      <c r="A7" s="13" t="s">
        <v>12</v>
      </c>
      <c r="B7" s="14"/>
      <c r="C7" s="14"/>
      <c r="D7" s="14"/>
      <c r="E7" s="8"/>
      <c r="F7" s="8"/>
      <c r="G7" s="8"/>
      <c r="H7" s="8"/>
      <c r="I7" s="8"/>
      <c r="J7" s="8"/>
    </row>
    <row r="8" spans="1:10" x14ac:dyDescent="0.3">
      <c r="A8" s="8"/>
      <c r="B8" s="28" t="s">
        <v>19</v>
      </c>
      <c r="C8" s="28" t="s">
        <v>20</v>
      </c>
      <c r="D8" s="52">
        <v>0.06</v>
      </c>
      <c r="E8" s="8"/>
      <c r="F8" s="8"/>
      <c r="G8" s="8"/>
      <c r="H8" s="8"/>
      <c r="I8" s="8"/>
      <c r="J8" s="8"/>
    </row>
    <row r="9" spans="1:10" x14ac:dyDescent="0.3">
      <c r="A9" s="8"/>
      <c r="B9" s="28" t="s">
        <v>18</v>
      </c>
      <c r="C9" s="28" t="s">
        <v>16</v>
      </c>
      <c r="D9" s="28">
        <v>800</v>
      </c>
      <c r="E9" s="8"/>
      <c r="F9" s="8"/>
      <c r="G9" s="8"/>
      <c r="H9" s="8"/>
      <c r="I9" s="8"/>
      <c r="J9" s="8"/>
    </row>
    <row r="10" spans="1:10" x14ac:dyDescent="0.3">
      <c r="A10" s="8"/>
      <c r="B10" s="28" t="s">
        <v>47</v>
      </c>
      <c r="C10" s="28" t="s">
        <v>17</v>
      </c>
      <c r="D10" s="28">
        <v>1000</v>
      </c>
      <c r="E10" s="8"/>
      <c r="F10" s="8"/>
      <c r="G10" s="8"/>
      <c r="H10" s="8"/>
      <c r="I10" s="8"/>
      <c r="J10" s="8"/>
    </row>
    <row r="11" spans="1:10" x14ac:dyDescent="0.3">
      <c r="A11" s="8"/>
      <c r="B11" s="28" t="s">
        <v>39</v>
      </c>
      <c r="C11" s="28" t="s">
        <v>40</v>
      </c>
      <c r="D11" s="28">
        <f>D4/D10</f>
        <v>10</v>
      </c>
      <c r="E11" s="8"/>
      <c r="F11" s="8"/>
      <c r="G11" s="8"/>
      <c r="H11" s="8"/>
      <c r="I11" s="8"/>
      <c r="J11" s="8"/>
    </row>
    <row r="12" spans="1:10" x14ac:dyDescent="0.3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15.5" x14ac:dyDescent="0.3">
      <c r="A14" s="47" t="s">
        <v>94</v>
      </c>
      <c r="B14" s="47"/>
      <c r="C14" s="47"/>
      <c r="D14" s="47"/>
      <c r="E14" s="47"/>
      <c r="F14" s="8"/>
      <c r="G14" s="8"/>
      <c r="H14" s="8"/>
      <c r="I14" s="8"/>
      <c r="J14" s="8"/>
    </row>
    <row r="15" spans="1:10" x14ac:dyDescent="0.3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3">
      <c r="A16" s="13" t="s">
        <v>0</v>
      </c>
      <c r="B16" s="14"/>
      <c r="C16" s="14"/>
      <c r="D16" s="14"/>
      <c r="E16" s="14"/>
      <c r="F16" s="8"/>
      <c r="G16" s="8"/>
      <c r="H16" s="8"/>
      <c r="I16" s="8"/>
      <c r="J16" s="8"/>
    </row>
    <row r="17" spans="1:10" x14ac:dyDescent="0.3">
      <c r="A17" s="9"/>
      <c r="B17" s="9"/>
      <c r="C17" s="9"/>
      <c r="D17" s="32" t="s">
        <v>41</v>
      </c>
      <c r="E17" s="31">
        <f>E23/D23</f>
        <v>10</v>
      </c>
      <c r="F17" s="8"/>
      <c r="G17" s="8"/>
      <c r="H17" s="8"/>
      <c r="I17" s="8"/>
      <c r="J17" s="8"/>
    </row>
    <row r="18" spans="1:10" x14ac:dyDescent="0.3">
      <c r="A18" s="22"/>
      <c r="B18" s="22" t="s">
        <v>1</v>
      </c>
      <c r="C18" s="22" t="s">
        <v>51</v>
      </c>
      <c r="D18" s="22" t="s">
        <v>42</v>
      </c>
      <c r="E18" s="23" t="s">
        <v>43</v>
      </c>
      <c r="F18" s="8"/>
      <c r="G18" s="8"/>
      <c r="H18" s="8"/>
      <c r="I18" s="8"/>
      <c r="J18" s="8"/>
    </row>
    <row r="19" spans="1:10" x14ac:dyDescent="0.3">
      <c r="A19" s="10">
        <v>1</v>
      </c>
      <c r="B19" s="11" t="s">
        <v>3</v>
      </c>
      <c r="C19" s="10" t="s">
        <v>4</v>
      </c>
      <c r="D19" s="46">
        <v>6.0000000000000001E-3</v>
      </c>
      <c r="E19" s="11">
        <f>$E$17*D19</f>
        <v>0.06</v>
      </c>
      <c r="F19" s="8"/>
      <c r="G19" s="8"/>
      <c r="H19" s="8"/>
      <c r="I19" s="8"/>
      <c r="J19" s="8"/>
    </row>
    <row r="20" spans="1:10" x14ac:dyDescent="0.3">
      <c r="A20" s="10">
        <v>2</v>
      </c>
      <c r="B20" s="11" t="s">
        <v>13</v>
      </c>
      <c r="C20" s="10" t="s">
        <v>4</v>
      </c>
      <c r="D20" s="46">
        <v>1.4E-2</v>
      </c>
      <c r="E20" s="11">
        <f t="shared" ref="E20:E21" si="0">$E$17*D20</f>
        <v>0.14000000000000001</v>
      </c>
      <c r="F20" s="8"/>
      <c r="G20" s="8"/>
      <c r="H20" s="8"/>
      <c r="I20" s="8"/>
      <c r="J20" s="8"/>
    </row>
    <row r="21" spans="1:10" x14ac:dyDescent="0.3">
      <c r="A21" s="10">
        <v>3</v>
      </c>
      <c r="B21" s="11" t="s">
        <v>21</v>
      </c>
      <c r="C21" s="10" t="s">
        <v>48</v>
      </c>
      <c r="D21" s="11">
        <v>1.4</v>
      </c>
      <c r="E21" s="11">
        <f t="shared" si="0"/>
        <v>14</v>
      </c>
      <c r="F21" s="8"/>
      <c r="G21" s="8"/>
      <c r="H21" s="8"/>
      <c r="I21" s="8"/>
      <c r="J21" s="8"/>
    </row>
    <row r="22" spans="1:10" x14ac:dyDescent="0.3">
      <c r="A22" s="21"/>
      <c r="B22" s="20" t="s">
        <v>5</v>
      </c>
      <c r="C22" s="5"/>
      <c r="D22" s="9"/>
      <c r="E22" s="9"/>
      <c r="F22" s="8"/>
      <c r="G22" s="8"/>
      <c r="H22" s="8"/>
      <c r="I22" s="8"/>
      <c r="J22" s="8"/>
    </row>
    <row r="23" spans="1:10" x14ac:dyDescent="0.3">
      <c r="A23" s="9"/>
      <c r="B23" s="9" t="s">
        <v>14</v>
      </c>
      <c r="C23" s="5" t="s">
        <v>7</v>
      </c>
      <c r="D23" s="9">
        <v>1</v>
      </c>
      <c r="E23" s="9">
        <f>D11</f>
        <v>10</v>
      </c>
      <c r="F23" s="8"/>
      <c r="G23" s="8"/>
      <c r="H23" s="8"/>
      <c r="I23" s="8"/>
      <c r="J23" s="8"/>
    </row>
    <row r="24" spans="1:10" x14ac:dyDescent="0.3">
      <c r="A24" s="27">
        <v>1</v>
      </c>
      <c r="B24" s="28" t="s">
        <v>8</v>
      </c>
      <c r="C24" s="27" t="s">
        <v>4</v>
      </c>
      <c r="D24" s="29">
        <v>0.3</v>
      </c>
      <c r="E24" s="30">
        <f>$E$17*D24</f>
        <v>3</v>
      </c>
      <c r="F24" s="8"/>
      <c r="G24" s="8"/>
      <c r="H24" s="8"/>
      <c r="I24" s="8"/>
      <c r="J24" s="8"/>
    </row>
    <row r="25" spans="1:10" x14ac:dyDescent="0.3">
      <c r="A25" s="27">
        <v>2</v>
      </c>
      <c r="B25" s="28" t="s">
        <v>32</v>
      </c>
      <c r="C25" s="27" t="s">
        <v>4</v>
      </c>
      <c r="D25" s="29">
        <v>5.0000000000000001E-4</v>
      </c>
      <c r="E25" s="30">
        <f t="shared" ref="E25:E29" si="1">$E$17*D25</f>
        <v>5.0000000000000001E-3</v>
      </c>
      <c r="F25" s="16"/>
      <c r="G25" s="8"/>
      <c r="H25" s="8"/>
      <c r="I25" s="8"/>
      <c r="J25" s="8"/>
    </row>
    <row r="26" spans="1:10" x14ac:dyDescent="0.3">
      <c r="A26" s="27">
        <v>3</v>
      </c>
      <c r="B26" s="28" t="s">
        <v>33</v>
      </c>
      <c r="C26" s="27" t="s">
        <v>4</v>
      </c>
      <c r="D26" s="29">
        <v>1E-4</v>
      </c>
      <c r="E26" s="30">
        <f t="shared" si="1"/>
        <v>1E-3</v>
      </c>
      <c r="F26" s="16"/>
      <c r="G26" s="8"/>
      <c r="H26" s="8"/>
      <c r="I26" s="8"/>
      <c r="J26" s="8"/>
    </row>
    <row r="27" spans="1:10" x14ac:dyDescent="0.3">
      <c r="A27" s="27">
        <v>4</v>
      </c>
      <c r="B27" s="28" t="s">
        <v>9</v>
      </c>
      <c r="C27" s="27" t="s">
        <v>4</v>
      </c>
      <c r="D27" s="29">
        <v>1.1999999999999999E-3</v>
      </c>
      <c r="E27" s="30">
        <f t="shared" si="1"/>
        <v>1.1999999999999999E-2</v>
      </c>
      <c r="F27" s="8"/>
      <c r="G27" s="8"/>
      <c r="H27" s="8"/>
      <c r="I27" s="8"/>
      <c r="J27" s="8"/>
    </row>
    <row r="28" spans="1:10" x14ac:dyDescent="0.3">
      <c r="A28" s="27">
        <v>5</v>
      </c>
      <c r="B28" s="28" t="s">
        <v>10</v>
      </c>
      <c r="C28" s="27" t="s">
        <v>4</v>
      </c>
      <c r="D28" s="28">
        <v>8.0000000000000004E-4</v>
      </c>
      <c r="E28" s="30">
        <f t="shared" si="1"/>
        <v>8.0000000000000002E-3</v>
      </c>
      <c r="F28" s="8"/>
      <c r="G28" s="8"/>
      <c r="H28" s="8"/>
      <c r="I28" s="8"/>
      <c r="J28" s="8"/>
    </row>
    <row r="29" spans="1:10" x14ac:dyDescent="0.3">
      <c r="A29" s="27">
        <v>6</v>
      </c>
      <c r="B29" s="28" t="s">
        <v>50</v>
      </c>
      <c r="C29" s="27" t="s">
        <v>4</v>
      </c>
      <c r="D29" s="28">
        <v>2.0000000000000001E-4</v>
      </c>
      <c r="E29" s="30">
        <f t="shared" si="1"/>
        <v>2E-3</v>
      </c>
      <c r="F29" s="8"/>
      <c r="G29" s="8"/>
      <c r="H29" s="8"/>
      <c r="I29" s="8"/>
      <c r="J29" s="8"/>
    </row>
    <row r="30" spans="1:1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3">
      <c r="A31" s="13" t="s">
        <v>15</v>
      </c>
      <c r="B31" s="14"/>
      <c r="C31" s="14"/>
      <c r="D31" s="14"/>
      <c r="E31" s="14"/>
      <c r="F31" s="8"/>
      <c r="G31" s="8"/>
      <c r="H31" s="8"/>
      <c r="I31" s="8"/>
      <c r="J31" s="8"/>
    </row>
    <row r="32" spans="1:10" x14ac:dyDescent="0.3">
      <c r="A32" s="8"/>
      <c r="B32" s="9"/>
      <c r="C32" s="9"/>
      <c r="D32" s="33" t="s">
        <v>41</v>
      </c>
      <c r="E32" s="31">
        <f>E34/D34</f>
        <v>10</v>
      </c>
      <c r="F32" s="8"/>
      <c r="G32" s="8"/>
      <c r="H32" s="8"/>
      <c r="I32" s="8"/>
      <c r="J32" s="8"/>
    </row>
    <row r="33" spans="1:10" x14ac:dyDescent="0.3">
      <c r="A33" s="22"/>
      <c r="B33" s="22" t="s">
        <v>1</v>
      </c>
      <c r="C33" s="23" t="s">
        <v>51</v>
      </c>
      <c r="D33" s="22" t="s">
        <v>42</v>
      </c>
      <c r="E33" s="23" t="s">
        <v>43</v>
      </c>
      <c r="F33" s="8"/>
      <c r="G33" s="8"/>
      <c r="H33" s="8"/>
      <c r="I33" s="8"/>
      <c r="J33" s="8"/>
    </row>
    <row r="34" spans="1:10" x14ac:dyDescent="0.3">
      <c r="A34" s="10">
        <v>1</v>
      </c>
      <c r="B34" s="11" t="s">
        <v>25</v>
      </c>
      <c r="C34" s="10" t="s">
        <v>7</v>
      </c>
      <c r="D34" s="11">
        <v>1</v>
      </c>
      <c r="E34" s="11">
        <f>D11</f>
        <v>10</v>
      </c>
      <c r="F34" s="8"/>
      <c r="G34" s="8"/>
      <c r="H34" s="8"/>
      <c r="I34" s="8"/>
      <c r="J34" s="8"/>
    </row>
    <row r="35" spans="1:10" x14ac:dyDescent="0.3">
      <c r="A35" s="10">
        <v>2</v>
      </c>
      <c r="B35" s="11" t="s">
        <v>21</v>
      </c>
      <c r="C35" s="10" t="s">
        <v>22</v>
      </c>
      <c r="D35" s="11">
        <f>D8*D10</f>
        <v>60</v>
      </c>
      <c r="E35" s="11">
        <f>$E$32*D35</f>
        <v>600</v>
      </c>
      <c r="F35" s="8"/>
      <c r="G35" s="8"/>
      <c r="H35" s="8"/>
      <c r="I35" s="8"/>
      <c r="J35" s="8"/>
    </row>
    <row r="36" spans="1:10" x14ac:dyDescent="0.3">
      <c r="A36" s="21"/>
      <c r="B36" s="20" t="s">
        <v>5</v>
      </c>
      <c r="C36" s="5"/>
      <c r="D36" s="9"/>
      <c r="E36" s="9"/>
      <c r="F36" s="8"/>
      <c r="G36" s="8"/>
      <c r="H36" s="8"/>
      <c r="I36" s="8"/>
      <c r="J36" s="8"/>
    </row>
    <row r="37" spans="1:10" x14ac:dyDescent="0.3">
      <c r="A37" s="9"/>
      <c r="B37" s="9" t="s">
        <v>23</v>
      </c>
      <c r="C37" s="5" t="s">
        <v>17</v>
      </c>
      <c r="D37" s="9">
        <f>D10</f>
        <v>1000</v>
      </c>
      <c r="E37" s="9">
        <f>$E$32*D37</f>
        <v>10000</v>
      </c>
      <c r="F37" s="8"/>
      <c r="G37" s="8"/>
      <c r="H37" s="8"/>
      <c r="I37" s="8"/>
      <c r="J37" s="8"/>
    </row>
    <row r="38" spans="1:10" x14ac:dyDescent="0.3">
      <c r="A38" s="27">
        <v>1</v>
      </c>
      <c r="B38" s="28" t="s">
        <v>24</v>
      </c>
      <c r="C38" s="27" t="s">
        <v>4</v>
      </c>
      <c r="D38" s="29">
        <v>28.5</v>
      </c>
      <c r="E38" s="30">
        <f t="shared" ref="E38:E43" si="2">$E$32*D38</f>
        <v>285</v>
      </c>
      <c r="F38" s="8"/>
      <c r="G38" s="8"/>
      <c r="H38" s="8"/>
      <c r="I38" s="8"/>
      <c r="J38" s="8"/>
    </row>
    <row r="39" spans="1:10" x14ac:dyDescent="0.3">
      <c r="A39" s="27">
        <v>2</v>
      </c>
      <c r="B39" s="28" t="s">
        <v>32</v>
      </c>
      <c r="C39" s="27" t="s">
        <v>4</v>
      </c>
      <c r="D39" s="29">
        <v>6.0000000000000001E-3</v>
      </c>
      <c r="E39" s="30">
        <f t="shared" si="2"/>
        <v>0.06</v>
      </c>
      <c r="F39" s="16"/>
      <c r="G39" s="8"/>
      <c r="H39" s="8"/>
      <c r="I39" s="8"/>
      <c r="J39" s="8"/>
    </row>
    <row r="40" spans="1:10" x14ac:dyDescent="0.3">
      <c r="A40" s="27">
        <v>3</v>
      </c>
      <c r="B40" s="28" t="s">
        <v>33</v>
      </c>
      <c r="C40" s="27" t="s">
        <v>4</v>
      </c>
      <c r="D40" s="29">
        <v>1.2000000000000001E-3</v>
      </c>
      <c r="E40" s="30">
        <f t="shared" si="2"/>
        <v>1.2E-2</v>
      </c>
      <c r="F40" s="16"/>
      <c r="G40" s="8"/>
      <c r="H40" s="8"/>
      <c r="I40" s="8"/>
      <c r="J40" s="8"/>
    </row>
    <row r="41" spans="1:10" x14ac:dyDescent="0.3">
      <c r="A41" s="27">
        <v>4</v>
      </c>
      <c r="B41" s="28" t="s">
        <v>9</v>
      </c>
      <c r="C41" s="27" t="s">
        <v>4</v>
      </c>
      <c r="D41" s="29">
        <v>0.14399999999999999</v>
      </c>
      <c r="E41" s="30">
        <f t="shared" si="2"/>
        <v>1.44</v>
      </c>
      <c r="F41" s="8"/>
      <c r="G41" s="8"/>
      <c r="H41" s="8"/>
      <c r="I41" s="8"/>
      <c r="J41" s="8"/>
    </row>
    <row r="42" spans="1:10" x14ac:dyDescent="0.3">
      <c r="A42" s="27">
        <v>5</v>
      </c>
      <c r="B42" s="28" t="s">
        <v>10</v>
      </c>
      <c r="C42" s="27" t="s">
        <v>4</v>
      </c>
      <c r="D42" s="29">
        <v>0.114</v>
      </c>
      <c r="E42" s="30">
        <f t="shared" si="2"/>
        <v>1.1400000000000001</v>
      </c>
      <c r="F42" s="8"/>
      <c r="G42" s="8"/>
      <c r="H42" s="8"/>
      <c r="I42" s="8"/>
      <c r="J42" s="8"/>
    </row>
    <row r="43" spans="1:10" x14ac:dyDescent="0.3">
      <c r="A43" s="27">
        <v>6</v>
      </c>
      <c r="B43" s="28" t="s">
        <v>50</v>
      </c>
      <c r="C43" s="27" t="s">
        <v>4</v>
      </c>
      <c r="D43" s="29">
        <v>1.4999999999999999E-2</v>
      </c>
      <c r="E43" s="30">
        <f t="shared" si="2"/>
        <v>0.15</v>
      </c>
      <c r="F43" s="8"/>
      <c r="G43" s="8"/>
      <c r="H43" s="8"/>
      <c r="I43" s="8"/>
      <c r="J43" s="8"/>
    </row>
    <row r="44" spans="1:10" x14ac:dyDescent="0.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x14ac:dyDescent="0.3">
      <c r="A45" s="17" t="s">
        <v>27</v>
      </c>
      <c r="B45" s="34"/>
      <c r="C45" s="34"/>
      <c r="D45" s="34"/>
      <c r="E45" s="34"/>
      <c r="F45" s="8"/>
      <c r="G45" s="8"/>
      <c r="H45" s="8"/>
      <c r="I45" s="8"/>
      <c r="J45" s="8"/>
    </row>
    <row r="46" spans="1:10" x14ac:dyDescent="0.3">
      <c r="A46" s="9"/>
      <c r="B46" s="9"/>
      <c r="C46" s="9"/>
      <c r="D46" s="32" t="s">
        <v>41</v>
      </c>
      <c r="E46" s="31">
        <f>E48/D48</f>
        <v>10</v>
      </c>
      <c r="F46" s="8"/>
      <c r="G46" s="8"/>
      <c r="H46" s="8"/>
      <c r="I46" s="8"/>
      <c r="J46" s="8"/>
    </row>
    <row r="47" spans="1:10" x14ac:dyDescent="0.3">
      <c r="A47" s="22"/>
      <c r="B47" s="22" t="s">
        <v>1</v>
      </c>
      <c r="C47" s="23" t="s">
        <v>51</v>
      </c>
      <c r="D47" s="22" t="s">
        <v>42</v>
      </c>
      <c r="E47" s="23" t="s">
        <v>43</v>
      </c>
      <c r="F47" s="8"/>
      <c r="G47" s="8"/>
      <c r="H47" s="8"/>
      <c r="I47" s="8"/>
      <c r="J47" s="8"/>
    </row>
    <row r="48" spans="1:10" x14ac:dyDescent="0.3">
      <c r="A48" s="10">
        <v>1</v>
      </c>
      <c r="B48" s="11" t="s">
        <v>30</v>
      </c>
      <c r="C48" s="10" t="s">
        <v>7</v>
      </c>
      <c r="D48" s="11">
        <v>1</v>
      </c>
      <c r="E48" s="11">
        <f>D11</f>
        <v>10</v>
      </c>
      <c r="F48" s="8"/>
      <c r="G48" s="8"/>
      <c r="H48" s="8"/>
      <c r="I48" s="8"/>
      <c r="J48" s="8"/>
    </row>
    <row r="49" spans="1:10" x14ac:dyDescent="0.3">
      <c r="A49" s="10">
        <v>2</v>
      </c>
      <c r="B49" s="11" t="s">
        <v>21</v>
      </c>
      <c r="C49" s="10" t="s">
        <v>29</v>
      </c>
      <c r="D49" s="11">
        <v>2.5000000000000001E-2</v>
      </c>
      <c r="E49" s="38">
        <f>$E$46*D49</f>
        <v>0.25</v>
      </c>
      <c r="F49" s="8"/>
      <c r="G49" s="8"/>
      <c r="H49" s="8"/>
      <c r="I49" s="8"/>
      <c r="J49" s="8"/>
    </row>
    <row r="50" spans="1:10" x14ac:dyDescent="0.3">
      <c r="A50" s="21"/>
      <c r="B50" s="20" t="s">
        <v>5</v>
      </c>
      <c r="C50" s="5"/>
      <c r="D50" s="9"/>
      <c r="E50" s="9"/>
      <c r="F50" s="8"/>
      <c r="G50" s="8"/>
      <c r="H50" s="8"/>
      <c r="I50" s="8"/>
      <c r="J50" s="8"/>
    </row>
    <row r="51" spans="1:10" x14ac:dyDescent="0.3">
      <c r="A51" s="27">
        <v>1</v>
      </c>
      <c r="B51" s="28" t="s">
        <v>24</v>
      </c>
      <c r="C51" s="27" t="s">
        <v>4</v>
      </c>
      <c r="D51" s="44">
        <v>1.1875E-2</v>
      </c>
      <c r="E51" s="30">
        <f>$E$46*D51</f>
        <v>0.11874999999999999</v>
      </c>
      <c r="F51" s="8"/>
      <c r="G51" s="8"/>
      <c r="H51" s="8"/>
      <c r="I51" s="8"/>
      <c r="J51" s="8"/>
    </row>
    <row r="52" spans="1:10" x14ac:dyDescent="0.3">
      <c r="A52" s="27">
        <v>2</v>
      </c>
      <c r="B52" s="28" t="s">
        <v>32</v>
      </c>
      <c r="C52" s="27" t="s">
        <v>4</v>
      </c>
      <c r="D52" s="44">
        <v>2.5000000000000002E-6</v>
      </c>
      <c r="E52" s="30">
        <f t="shared" ref="E52:E56" si="3">$E$46*D52</f>
        <v>2.5000000000000001E-5</v>
      </c>
      <c r="F52" s="18"/>
      <c r="G52" s="8"/>
      <c r="H52" s="8"/>
      <c r="I52" s="8"/>
      <c r="J52" s="8"/>
    </row>
    <row r="53" spans="1:10" x14ac:dyDescent="0.3">
      <c r="A53" s="27">
        <v>3</v>
      </c>
      <c r="B53" s="28" t="s">
        <v>33</v>
      </c>
      <c r="C53" s="27" t="s">
        <v>4</v>
      </c>
      <c r="D53" s="44">
        <v>5.0000000000000008E-7</v>
      </c>
      <c r="E53" s="30">
        <f t="shared" si="3"/>
        <v>5.0000000000000013E-6</v>
      </c>
      <c r="F53" s="45"/>
      <c r="G53" s="8"/>
      <c r="H53" s="8"/>
      <c r="I53" s="8"/>
      <c r="J53" s="8"/>
    </row>
    <row r="54" spans="1:10" x14ac:dyDescent="0.3">
      <c r="A54" s="27">
        <v>4</v>
      </c>
      <c r="B54" s="28" t="s">
        <v>9</v>
      </c>
      <c r="C54" s="27" t="s">
        <v>4</v>
      </c>
      <c r="D54" s="44">
        <v>5.9999999999999995E-5</v>
      </c>
      <c r="E54" s="30">
        <f t="shared" si="3"/>
        <v>5.9999999999999995E-4</v>
      </c>
      <c r="F54" s="8"/>
      <c r="G54" s="8"/>
      <c r="H54" s="8"/>
      <c r="I54" s="8"/>
      <c r="J54" s="8"/>
    </row>
    <row r="55" spans="1:10" x14ac:dyDescent="0.3">
      <c r="A55" s="27">
        <v>5</v>
      </c>
      <c r="B55" s="28" t="s">
        <v>10</v>
      </c>
      <c r="C55" s="27" t="s">
        <v>4</v>
      </c>
      <c r="D55" s="44">
        <v>4.7500000000000003E-5</v>
      </c>
      <c r="E55" s="30">
        <f t="shared" si="3"/>
        <v>4.7500000000000005E-4</v>
      </c>
      <c r="F55" s="8"/>
      <c r="G55" s="8"/>
      <c r="H55" s="8"/>
      <c r="I55" s="8"/>
      <c r="J55" s="8"/>
    </row>
    <row r="56" spans="1:10" x14ac:dyDescent="0.3">
      <c r="A56" s="27">
        <v>6</v>
      </c>
      <c r="B56" s="28" t="s">
        <v>50</v>
      </c>
      <c r="C56" s="27" t="s">
        <v>4</v>
      </c>
      <c r="D56" s="44">
        <v>6.2500000000000003E-6</v>
      </c>
      <c r="E56" s="30">
        <f t="shared" si="3"/>
        <v>6.2500000000000001E-5</v>
      </c>
      <c r="F56" s="8"/>
      <c r="G56" s="8"/>
      <c r="H56" s="8"/>
      <c r="I56" s="8"/>
      <c r="J56" s="8"/>
    </row>
    <row r="57" spans="1:1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spans="1:10" ht="15.5" x14ac:dyDescent="0.35">
      <c r="A59" s="48" t="s">
        <v>54</v>
      </c>
      <c r="B59" s="48"/>
      <c r="C59" s="48"/>
      <c r="D59" s="48"/>
      <c r="E59" s="48"/>
      <c r="F59" s="48"/>
      <c r="G59" s="48"/>
      <c r="H59" s="8"/>
      <c r="I59" s="8"/>
      <c r="J59" s="8"/>
    </row>
    <row r="60" spans="1:10" x14ac:dyDescent="0.3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 x14ac:dyDescent="0.3">
      <c r="A61" s="9"/>
      <c r="B61" s="49" t="s">
        <v>55</v>
      </c>
      <c r="C61" s="23"/>
      <c r="D61" s="23" t="s">
        <v>44</v>
      </c>
      <c r="E61" s="23" t="s">
        <v>15</v>
      </c>
      <c r="F61" s="23" t="s">
        <v>45</v>
      </c>
      <c r="G61" s="23" t="s">
        <v>46</v>
      </c>
      <c r="H61" s="8"/>
      <c r="I61" s="8"/>
      <c r="J61" s="8"/>
    </row>
    <row r="62" spans="1:10" x14ac:dyDescent="0.3">
      <c r="A62" s="27">
        <v>1</v>
      </c>
      <c r="B62" s="28" t="s">
        <v>24</v>
      </c>
      <c r="C62" s="53" t="s">
        <v>4</v>
      </c>
      <c r="D62" s="30">
        <f t="shared" ref="D62:D67" si="4">E24</f>
        <v>3</v>
      </c>
      <c r="E62" s="30">
        <f t="shared" ref="E62:E67" si="5">E38</f>
        <v>285</v>
      </c>
      <c r="F62" s="30">
        <f t="shared" ref="F62:F67" si="6">E51</f>
        <v>0.11874999999999999</v>
      </c>
      <c r="G62" s="30">
        <f>SUM(D62:F62)</f>
        <v>288.11874999999998</v>
      </c>
      <c r="H62" s="8"/>
      <c r="I62" s="8"/>
      <c r="J62" s="8"/>
    </row>
    <row r="63" spans="1:10" x14ac:dyDescent="0.3">
      <c r="A63" s="27">
        <v>2</v>
      </c>
      <c r="B63" s="28" t="s">
        <v>32</v>
      </c>
      <c r="C63" s="53" t="s">
        <v>4</v>
      </c>
      <c r="D63" s="30">
        <f t="shared" si="4"/>
        <v>5.0000000000000001E-3</v>
      </c>
      <c r="E63" s="30">
        <f t="shared" si="5"/>
        <v>0.06</v>
      </c>
      <c r="F63" s="30">
        <f t="shared" si="6"/>
        <v>2.5000000000000001E-5</v>
      </c>
      <c r="G63" s="30">
        <f t="shared" ref="G63:G68" si="7">SUM(D63:F63)</f>
        <v>6.5024999999999999E-2</v>
      </c>
      <c r="H63" s="8"/>
      <c r="I63" s="8"/>
      <c r="J63" s="8"/>
    </row>
    <row r="64" spans="1:10" x14ac:dyDescent="0.3">
      <c r="A64" s="27">
        <v>3</v>
      </c>
      <c r="B64" s="28" t="s">
        <v>33</v>
      </c>
      <c r="C64" s="53" t="s">
        <v>4</v>
      </c>
      <c r="D64" s="30">
        <f t="shared" si="4"/>
        <v>1E-3</v>
      </c>
      <c r="E64" s="30">
        <f t="shared" si="5"/>
        <v>1.2E-2</v>
      </c>
      <c r="F64" s="30">
        <f t="shared" si="6"/>
        <v>5.0000000000000013E-6</v>
      </c>
      <c r="G64" s="30">
        <f t="shared" si="7"/>
        <v>1.3005000000000001E-2</v>
      </c>
      <c r="H64" s="8"/>
      <c r="I64" s="8"/>
      <c r="J64" s="8"/>
    </row>
    <row r="65" spans="1:10" x14ac:dyDescent="0.3">
      <c r="A65" s="27">
        <v>4</v>
      </c>
      <c r="B65" s="28" t="s">
        <v>9</v>
      </c>
      <c r="C65" s="53" t="s">
        <v>4</v>
      </c>
      <c r="D65" s="30">
        <f t="shared" si="4"/>
        <v>1.1999999999999999E-2</v>
      </c>
      <c r="E65" s="30">
        <f t="shared" si="5"/>
        <v>1.44</v>
      </c>
      <c r="F65" s="30">
        <f t="shared" si="6"/>
        <v>5.9999999999999995E-4</v>
      </c>
      <c r="G65" s="30">
        <f t="shared" si="7"/>
        <v>1.4525999999999999</v>
      </c>
      <c r="H65" s="8"/>
      <c r="I65" s="8"/>
      <c r="J65" s="8"/>
    </row>
    <row r="66" spans="1:10" x14ac:dyDescent="0.3">
      <c r="A66" s="27">
        <v>5</v>
      </c>
      <c r="B66" s="28" t="s">
        <v>31</v>
      </c>
      <c r="C66" s="53" t="s">
        <v>4</v>
      </c>
      <c r="D66" s="30">
        <f t="shared" si="4"/>
        <v>8.0000000000000002E-3</v>
      </c>
      <c r="E66" s="30">
        <f t="shared" si="5"/>
        <v>1.1400000000000001</v>
      </c>
      <c r="F66" s="30">
        <f t="shared" si="6"/>
        <v>4.7500000000000005E-4</v>
      </c>
      <c r="G66" s="30">
        <f t="shared" si="7"/>
        <v>1.1484750000000001</v>
      </c>
      <c r="H66" s="8"/>
      <c r="I66" s="8"/>
      <c r="J66" s="8"/>
    </row>
    <row r="67" spans="1:10" x14ac:dyDescent="0.3">
      <c r="A67" s="27">
        <v>6</v>
      </c>
      <c r="B67" s="28" t="s">
        <v>50</v>
      </c>
      <c r="C67" s="53" t="s">
        <v>4</v>
      </c>
      <c r="D67" s="30">
        <f t="shared" si="4"/>
        <v>2E-3</v>
      </c>
      <c r="E67" s="30">
        <f t="shared" si="5"/>
        <v>0.15</v>
      </c>
      <c r="F67" s="30">
        <f t="shared" si="6"/>
        <v>6.2500000000000001E-5</v>
      </c>
      <c r="G67" s="30">
        <f t="shared" si="7"/>
        <v>0.15206249999999999</v>
      </c>
      <c r="H67" s="8"/>
      <c r="I67" s="8"/>
      <c r="J67" s="8"/>
    </row>
    <row r="68" spans="1:10" x14ac:dyDescent="0.3">
      <c r="A68" s="57">
        <v>7</v>
      </c>
      <c r="B68" s="58" t="s">
        <v>21</v>
      </c>
      <c r="C68" s="59" t="s">
        <v>29</v>
      </c>
      <c r="D68" s="60">
        <f>E21</f>
        <v>14</v>
      </c>
      <c r="E68" s="60">
        <f>E35</f>
        <v>600</v>
      </c>
      <c r="F68" s="60">
        <f>E49</f>
        <v>0.25</v>
      </c>
      <c r="G68" s="60">
        <f t="shared" si="7"/>
        <v>614.25</v>
      </c>
      <c r="H68" s="8"/>
      <c r="I68" s="8"/>
      <c r="J68" s="8"/>
    </row>
    <row r="69" spans="1:1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77D8-3A6A-4276-82A3-F6AF1EF1B0C4}">
  <dimension ref="A2:N32"/>
  <sheetViews>
    <sheetView zoomScale="175" zoomScaleNormal="175" workbookViewId="0">
      <selection activeCell="G27" sqref="G27"/>
    </sheetView>
  </sheetViews>
  <sheetFormatPr defaultColWidth="9.1796875" defaultRowHeight="15.5" x14ac:dyDescent="0.35"/>
  <cols>
    <col min="1" max="1" width="5.81640625" style="54" customWidth="1"/>
    <col min="2" max="2" width="43.453125" style="54" customWidth="1"/>
    <col min="3" max="3" width="9.81640625" style="54" customWidth="1"/>
    <col min="4" max="4" width="13.453125" style="54" customWidth="1"/>
    <col min="5" max="5" width="12.453125" style="54" customWidth="1"/>
    <col min="6" max="6" width="11.453125" style="54" customWidth="1"/>
    <col min="7" max="7" width="11.54296875" style="54" customWidth="1"/>
    <col min="8" max="8" width="14.1796875" style="54" customWidth="1"/>
    <col min="9" max="9" width="14.453125" style="54" customWidth="1"/>
    <col min="10" max="10" width="10.7265625" style="54" customWidth="1"/>
    <col min="11" max="16384" width="9.1796875" style="54"/>
  </cols>
  <sheetData>
    <row r="2" spans="1:11" x14ac:dyDescent="0.35">
      <c r="A2" s="48" t="s">
        <v>78</v>
      </c>
      <c r="B2" s="48"/>
      <c r="C2" s="48"/>
      <c r="D2" s="48"/>
      <c r="E2" s="48"/>
      <c r="F2" s="48"/>
      <c r="G2" s="48"/>
      <c r="H2" s="48"/>
      <c r="I2" s="48"/>
      <c r="J2" s="48"/>
    </row>
    <row r="4" spans="1:11" x14ac:dyDescent="0.35">
      <c r="A4" s="92"/>
      <c r="B4" s="92" t="s">
        <v>65</v>
      </c>
      <c r="C4" s="92"/>
      <c r="D4" s="93" t="s">
        <v>51</v>
      </c>
      <c r="E4" s="94" t="s">
        <v>24</v>
      </c>
      <c r="F4" s="94" t="s">
        <v>32</v>
      </c>
      <c r="G4" s="94" t="s">
        <v>33</v>
      </c>
      <c r="H4" s="94" t="s">
        <v>9</v>
      </c>
      <c r="I4" s="94" t="s">
        <v>31</v>
      </c>
      <c r="J4" s="94" t="s">
        <v>50</v>
      </c>
    </row>
    <row r="5" spans="1:11" x14ac:dyDescent="0.35">
      <c r="A5" s="90">
        <v>1</v>
      </c>
      <c r="B5" s="89" t="s">
        <v>56</v>
      </c>
      <c r="C5" s="89" t="s">
        <v>66</v>
      </c>
      <c r="D5" s="91" t="s">
        <v>60</v>
      </c>
      <c r="E5" s="55">
        <v>1</v>
      </c>
      <c r="F5" s="55">
        <v>34</v>
      </c>
      <c r="G5" s="55">
        <v>0</v>
      </c>
      <c r="H5" s="55">
        <v>0</v>
      </c>
      <c r="I5" s="55">
        <v>0</v>
      </c>
      <c r="J5" s="55">
        <v>0</v>
      </c>
    </row>
    <row r="6" spans="1:11" x14ac:dyDescent="0.35">
      <c r="A6" s="90">
        <v>2</v>
      </c>
      <c r="B6" s="89" t="s">
        <v>57</v>
      </c>
      <c r="C6" s="11" t="s">
        <v>73</v>
      </c>
      <c r="D6" s="91" t="s">
        <v>61</v>
      </c>
      <c r="E6" s="55">
        <v>0</v>
      </c>
      <c r="F6" s="55">
        <v>0</v>
      </c>
      <c r="G6" s="55">
        <v>0.24</v>
      </c>
      <c r="H6" s="55">
        <v>0.28999999999999998</v>
      </c>
      <c r="I6" s="55">
        <v>0.11</v>
      </c>
      <c r="J6" s="55">
        <v>1</v>
      </c>
    </row>
    <row r="7" spans="1:11" x14ac:dyDescent="0.35">
      <c r="A7" s="90">
        <v>3</v>
      </c>
      <c r="B7" s="89" t="s">
        <v>58</v>
      </c>
      <c r="C7" s="89" t="s">
        <v>72</v>
      </c>
      <c r="D7" s="91" t="s">
        <v>62</v>
      </c>
      <c r="E7" s="55">
        <v>0</v>
      </c>
      <c r="F7" s="55">
        <v>0</v>
      </c>
      <c r="G7" s="55">
        <v>1.96</v>
      </c>
      <c r="H7" s="55">
        <v>1</v>
      </c>
      <c r="I7" s="55">
        <v>0.36</v>
      </c>
      <c r="J7" s="55">
        <v>0</v>
      </c>
    </row>
    <row r="8" spans="1:11" x14ac:dyDescent="0.35">
      <c r="A8" s="90">
        <v>4</v>
      </c>
      <c r="B8" s="89" t="s">
        <v>59</v>
      </c>
      <c r="C8" s="89" t="s">
        <v>71</v>
      </c>
      <c r="D8" s="91" t="s">
        <v>63</v>
      </c>
      <c r="E8" s="55">
        <v>0</v>
      </c>
      <c r="F8" s="55">
        <v>0</v>
      </c>
      <c r="G8" s="56">
        <v>0.24446000000000001</v>
      </c>
      <c r="H8" s="55">
        <v>0</v>
      </c>
      <c r="I8" s="56">
        <v>9.0240000000000001E-2</v>
      </c>
      <c r="J8" s="55">
        <v>0</v>
      </c>
    </row>
    <row r="9" spans="1:11" x14ac:dyDescent="0.35">
      <c r="A9" s="90">
        <v>5</v>
      </c>
      <c r="B9" s="89" t="s">
        <v>67</v>
      </c>
      <c r="C9" s="11" t="s">
        <v>68</v>
      </c>
      <c r="D9" s="91" t="s">
        <v>64</v>
      </c>
      <c r="E9" s="55">
        <v>0</v>
      </c>
      <c r="F9" s="55">
        <v>0</v>
      </c>
      <c r="G9" s="55">
        <v>0</v>
      </c>
      <c r="H9" s="55">
        <v>0</v>
      </c>
      <c r="I9" s="55">
        <v>1</v>
      </c>
      <c r="J9" s="55">
        <v>0</v>
      </c>
    </row>
    <row r="10" spans="1:11" x14ac:dyDescent="0.35">
      <c r="A10" s="90">
        <v>6</v>
      </c>
      <c r="B10" s="89" t="s">
        <v>69</v>
      </c>
      <c r="C10" s="11" t="s">
        <v>70</v>
      </c>
      <c r="D10" s="91" t="s">
        <v>64</v>
      </c>
      <c r="E10" s="55">
        <v>0</v>
      </c>
      <c r="F10" s="55">
        <v>0</v>
      </c>
      <c r="G10" s="55">
        <v>0</v>
      </c>
      <c r="H10" s="55">
        <v>0</v>
      </c>
      <c r="I10" s="55">
        <v>1</v>
      </c>
      <c r="J10" s="55">
        <v>0</v>
      </c>
    </row>
    <row r="13" spans="1:11" x14ac:dyDescent="0.35">
      <c r="A13" s="48" t="s">
        <v>92</v>
      </c>
      <c r="B13" s="48"/>
      <c r="C13" s="48"/>
      <c r="D13" s="48"/>
      <c r="E13" s="48"/>
      <c r="F13" s="48"/>
      <c r="G13" s="48"/>
      <c r="H13"/>
      <c r="I13"/>
      <c r="J13"/>
    </row>
    <row r="14" spans="1:11" x14ac:dyDescent="0.35">
      <c r="A14" s="8"/>
      <c r="B14" s="8"/>
      <c r="C14" s="8"/>
      <c r="D14" s="8"/>
      <c r="E14" s="8"/>
      <c r="F14" s="8"/>
      <c r="G14" s="8"/>
      <c r="H14"/>
      <c r="I14"/>
      <c r="J14"/>
    </row>
    <row r="15" spans="1:11" x14ac:dyDescent="0.35">
      <c r="A15" s="96"/>
      <c r="B15" s="92" t="s">
        <v>65</v>
      </c>
      <c r="C15" s="92"/>
      <c r="D15" s="93" t="s">
        <v>51</v>
      </c>
      <c r="E15" s="95" t="s">
        <v>44</v>
      </c>
      <c r="F15" s="95" t="s">
        <v>15</v>
      </c>
      <c r="G15" s="95" t="s">
        <v>45</v>
      </c>
      <c r="H15" s="23" t="s">
        <v>74</v>
      </c>
      <c r="I15" s="23" t="s">
        <v>102</v>
      </c>
      <c r="J15"/>
      <c r="K15" s="97" t="s">
        <v>113</v>
      </c>
    </row>
    <row r="16" spans="1:11" x14ac:dyDescent="0.35">
      <c r="A16" s="10">
        <v>1</v>
      </c>
      <c r="B16" s="89" t="s">
        <v>56</v>
      </c>
      <c r="C16" s="89" t="s">
        <v>66</v>
      </c>
      <c r="D16" s="91" t="s">
        <v>60</v>
      </c>
      <c r="E16" s="65">
        <f t="array" ref="E16:H21">MMULT('midpoint scores'!E5:J10, 'LED 10w'!D62:G67)</f>
        <v>0.76080000000000014</v>
      </c>
      <c r="F16" s="65">
        <v>47.84</v>
      </c>
      <c r="G16" s="65">
        <v>6.8889600000000009E-2</v>
      </c>
      <c r="H16" s="65">
        <v>48.669689599999998</v>
      </c>
      <c r="I16" s="65">
        <f>H16/normalization!C6</f>
        <v>6.0086036543209875E-3</v>
      </c>
      <c r="K16" s="62">
        <f t="shared" ref="K16:K21" si="0">SUM(E16:G16)</f>
        <v>48.669689600000005</v>
      </c>
    </row>
    <row r="17" spans="1:14" x14ac:dyDescent="0.35">
      <c r="A17" s="10">
        <v>2</v>
      </c>
      <c r="B17" s="89" t="s">
        <v>57</v>
      </c>
      <c r="C17" s="11" t="s">
        <v>73</v>
      </c>
      <c r="D17" s="91" t="s">
        <v>61</v>
      </c>
      <c r="E17" s="65">
        <v>1.7564000000000002E-3</v>
      </c>
      <c r="F17" s="65">
        <v>0.11598</v>
      </c>
      <c r="G17" s="65">
        <v>1.3301119999999998E-4</v>
      </c>
      <c r="H17" s="65">
        <v>0.1178694112</v>
      </c>
      <c r="I17" s="65">
        <f>H17/normalization!C7</f>
        <v>7.3668381999999998E-3</v>
      </c>
      <c r="K17" s="62">
        <f t="shared" si="0"/>
        <v>0.11786941120000001</v>
      </c>
    </row>
    <row r="18" spans="1:14" x14ac:dyDescent="0.35">
      <c r="A18" s="10">
        <v>3</v>
      </c>
      <c r="B18" s="89" t="s">
        <v>58</v>
      </c>
      <c r="C18" s="89" t="s">
        <v>72</v>
      </c>
      <c r="D18" s="91" t="s">
        <v>62</v>
      </c>
      <c r="E18" s="65">
        <v>4.7632000000000004E-3</v>
      </c>
      <c r="F18" s="65">
        <v>0.31231999999999999</v>
      </c>
      <c r="G18" s="65">
        <v>4.4974079999999996E-4</v>
      </c>
      <c r="H18" s="65">
        <v>0.3175329408</v>
      </c>
      <c r="I18" s="65">
        <f>H18/normalization!C8</f>
        <v>7.7447058731707312E-3</v>
      </c>
      <c r="K18" s="62">
        <f t="shared" si="0"/>
        <v>0.3175329408</v>
      </c>
    </row>
    <row r="19" spans="1:14" x14ac:dyDescent="0.35">
      <c r="A19" s="10">
        <v>4</v>
      </c>
      <c r="B19" s="89" t="s">
        <v>59</v>
      </c>
      <c r="C19" s="89" t="s">
        <v>71</v>
      </c>
      <c r="D19" s="91" t="s">
        <v>63</v>
      </c>
      <c r="E19" s="65">
        <v>2.8246560000000002E-4</v>
      </c>
      <c r="F19" s="65">
        <v>1.7634520000000001E-2</v>
      </c>
      <c r="G19" s="65">
        <v>2.5393708799999999E-5</v>
      </c>
      <c r="H19" s="65">
        <v>1.7942379308800004E-2</v>
      </c>
      <c r="I19" s="65">
        <f>H19/normalization!C9</f>
        <v>2.1617324468433739E-3</v>
      </c>
      <c r="K19" s="62">
        <f t="shared" si="0"/>
        <v>1.7942379308800001E-2</v>
      </c>
    </row>
    <row r="20" spans="1:14" x14ac:dyDescent="0.35">
      <c r="A20" s="10">
        <v>5</v>
      </c>
      <c r="B20" s="89" t="s">
        <v>67</v>
      </c>
      <c r="C20" s="11" t="s">
        <v>68</v>
      </c>
      <c r="D20" s="91" t="s">
        <v>64</v>
      </c>
      <c r="E20" s="65">
        <v>2.48E-3</v>
      </c>
      <c r="F20" s="65">
        <v>0.19</v>
      </c>
      <c r="G20" s="65">
        <v>2.7359999999999998E-4</v>
      </c>
      <c r="H20" s="65">
        <v>0.19275360000000002</v>
      </c>
      <c r="I20" s="65">
        <f>H20/normalization!C10</f>
        <v>6.21785806451613E-3</v>
      </c>
      <c r="K20" s="62">
        <f t="shared" si="0"/>
        <v>0.19275360000000002</v>
      </c>
    </row>
    <row r="21" spans="1:14" x14ac:dyDescent="0.35">
      <c r="A21" s="10">
        <v>6</v>
      </c>
      <c r="B21" s="89" t="s">
        <v>69</v>
      </c>
      <c r="C21" s="11" t="s">
        <v>70</v>
      </c>
      <c r="D21" s="91" t="s">
        <v>64</v>
      </c>
      <c r="E21" s="65">
        <v>2.48E-3</v>
      </c>
      <c r="F21" s="65">
        <v>0.19</v>
      </c>
      <c r="G21" s="65">
        <v>2.7359999999999998E-4</v>
      </c>
      <c r="H21" s="65">
        <v>0.19275360000000002</v>
      </c>
      <c r="I21" s="65">
        <f>H21/normalization!C11</f>
        <v>6.8840571428571435E-3</v>
      </c>
      <c r="K21" s="62">
        <f t="shared" si="0"/>
        <v>0.19275360000000002</v>
      </c>
    </row>
    <row r="24" spans="1:14" x14ac:dyDescent="0.35">
      <c r="A24" s="48" t="s">
        <v>91</v>
      </c>
      <c r="B24" s="48"/>
      <c r="C24" s="48"/>
      <c r="D24" s="48"/>
      <c r="E24" s="48"/>
      <c r="F24" s="48"/>
      <c r="G24" s="48"/>
      <c r="H24"/>
      <c r="I24"/>
      <c r="N24"/>
    </row>
    <row r="25" spans="1:14" x14ac:dyDescent="0.35">
      <c r="A25" s="8"/>
      <c r="B25" s="8"/>
      <c r="C25" s="8"/>
      <c r="D25" s="8"/>
      <c r="E25" s="8"/>
      <c r="F25" s="8"/>
      <c r="G25" s="8"/>
      <c r="H25"/>
      <c r="I25"/>
      <c r="N25"/>
    </row>
    <row r="26" spans="1:14" x14ac:dyDescent="0.35">
      <c r="A26" s="96"/>
      <c r="B26" s="92" t="s">
        <v>65</v>
      </c>
      <c r="C26" s="92"/>
      <c r="D26" s="93" t="s">
        <v>51</v>
      </c>
      <c r="E26" s="95" t="s">
        <v>44</v>
      </c>
      <c r="F26" s="95" t="s">
        <v>15</v>
      </c>
      <c r="G26" s="95" t="s">
        <v>45</v>
      </c>
      <c r="H26" s="23" t="s">
        <v>74</v>
      </c>
      <c r="I26" s="23" t="s">
        <v>102</v>
      </c>
      <c r="N26"/>
    </row>
    <row r="27" spans="1:14" x14ac:dyDescent="0.35">
      <c r="A27" s="10">
        <v>1</v>
      </c>
      <c r="B27" s="89" t="s">
        <v>56</v>
      </c>
      <c r="C27" s="89" t="s">
        <v>66</v>
      </c>
      <c r="D27" s="91" t="s">
        <v>60</v>
      </c>
      <c r="E27" s="65">
        <f t="array" ref="E27:H32">MMULT('midpoint scores'!E5:J10, 'Incand 60w'!D62:G67)</f>
        <v>3.17</v>
      </c>
      <c r="F27" s="65">
        <v>287.04000000000002</v>
      </c>
      <c r="G27" s="65">
        <v>0.1196</v>
      </c>
      <c r="H27" s="65">
        <v>290.32959999999997</v>
      </c>
      <c r="I27" s="65">
        <f>H27/normalization!C6</f>
        <v>3.5843160493827159E-2</v>
      </c>
      <c r="N27" s="62">
        <f t="shared" ref="N27:N32" si="1">SUM(E27:G27)</f>
        <v>290.32960000000003</v>
      </c>
    </row>
    <row r="28" spans="1:14" x14ac:dyDescent="0.35">
      <c r="A28" s="10">
        <v>2</v>
      </c>
      <c r="B28" s="89" t="s">
        <v>57</v>
      </c>
      <c r="C28" s="11" t="s">
        <v>73</v>
      </c>
      <c r="D28" s="91" t="s">
        <v>61</v>
      </c>
      <c r="E28" s="65">
        <v>6.5999999999999991E-3</v>
      </c>
      <c r="F28" s="65">
        <v>0.69587999999999994</v>
      </c>
      <c r="G28" s="65">
        <v>2.8994999999999997E-4</v>
      </c>
      <c r="H28" s="65">
        <v>0.70276994999999998</v>
      </c>
      <c r="I28" s="65">
        <f>H28/normalization!C7</f>
        <v>4.3923121874999999E-2</v>
      </c>
      <c r="N28" s="62">
        <f t="shared" si="1"/>
        <v>0.70276994999999998</v>
      </c>
    </row>
    <row r="29" spans="1:14" x14ac:dyDescent="0.35">
      <c r="A29" s="10">
        <v>3</v>
      </c>
      <c r="B29" s="89" t="s">
        <v>58</v>
      </c>
      <c r="C29" s="89" t="s">
        <v>72</v>
      </c>
      <c r="D29" s="91" t="s">
        <v>62</v>
      </c>
      <c r="E29" s="65">
        <v>1.6839999999999997E-2</v>
      </c>
      <c r="F29" s="65">
        <v>1.87392</v>
      </c>
      <c r="G29" s="65">
        <v>7.8080000000000001E-4</v>
      </c>
      <c r="H29" s="65">
        <v>1.8915407999999998</v>
      </c>
      <c r="I29" s="65">
        <f>H29/normalization!C8</f>
        <v>4.6135141463414631E-2</v>
      </c>
      <c r="N29" s="62">
        <f t="shared" si="1"/>
        <v>1.8915408</v>
      </c>
    </row>
    <row r="30" spans="1:14" x14ac:dyDescent="0.35">
      <c r="A30" s="10">
        <v>4</v>
      </c>
      <c r="B30" s="89" t="s">
        <v>59</v>
      </c>
      <c r="C30" s="89" t="s">
        <v>71</v>
      </c>
      <c r="D30" s="91" t="s">
        <v>63</v>
      </c>
      <c r="E30" s="65">
        <v>9.6637999999999997E-4</v>
      </c>
      <c r="F30" s="65">
        <v>0.10580712</v>
      </c>
      <c r="G30" s="65">
        <v>4.4086300000000012E-5</v>
      </c>
      <c r="H30" s="65">
        <v>0.10681758630000002</v>
      </c>
      <c r="I30" s="65">
        <f>H30/normalization!C9</f>
        <v>1.2869588710843375E-2</v>
      </c>
      <c r="N30" s="62">
        <f t="shared" si="1"/>
        <v>0.1068175863</v>
      </c>
    </row>
    <row r="31" spans="1:14" x14ac:dyDescent="0.35">
      <c r="A31" s="10">
        <v>5</v>
      </c>
      <c r="B31" s="89" t="s">
        <v>67</v>
      </c>
      <c r="C31" s="11" t="s">
        <v>68</v>
      </c>
      <c r="D31" s="91" t="s">
        <v>64</v>
      </c>
      <c r="E31" s="65">
        <v>8.0000000000000002E-3</v>
      </c>
      <c r="F31" s="65">
        <v>1.1400000000000001</v>
      </c>
      <c r="G31" s="65">
        <v>4.7500000000000005E-4</v>
      </c>
      <c r="H31" s="65">
        <v>1.1484750000000001</v>
      </c>
      <c r="I31" s="65">
        <f>H31/normalization!C10</f>
        <v>3.7047580645161296E-2</v>
      </c>
      <c r="N31" s="62">
        <f t="shared" si="1"/>
        <v>1.1484750000000001</v>
      </c>
    </row>
    <row r="32" spans="1:14" x14ac:dyDescent="0.35">
      <c r="A32" s="10">
        <v>6</v>
      </c>
      <c r="B32" s="89" t="s">
        <v>69</v>
      </c>
      <c r="C32" s="11" t="s">
        <v>70</v>
      </c>
      <c r="D32" s="91" t="s">
        <v>64</v>
      </c>
      <c r="E32" s="65">
        <v>8.0000000000000002E-3</v>
      </c>
      <c r="F32" s="65">
        <v>1.1400000000000001</v>
      </c>
      <c r="G32" s="65">
        <v>4.7500000000000005E-4</v>
      </c>
      <c r="H32" s="65">
        <v>1.1484750000000001</v>
      </c>
      <c r="I32" s="65">
        <f>H32/normalization!C11</f>
        <v>4.1016964285714289E-2</v>
      </c>
      <c r="N32" s="62">
        <f t="shared" si="1"/>
        <v>1.1484750000000001</v>
      </c>
    </row>
  </sheetData>
  <conditionalFormatting sqref="E5:J10">
    <cfRule type="cellIs" dxfId="1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0AAB-F748-4F8A-8749-CA6A671D7C71}">
  <dimension ref="A2:D17"/>
  <sheetViews>
    <sheetView zoomScale="190" zoomScaleNormal="190" workbookViewId="0">
      <selection activeCell="B3" sqref="B3"/>
    </sheetView>
  </sheetViews>
  <sheetFormatPr defaultColWidth="9.1796875" defaultRowHeight="13" x14ac:dyDescent="0.3"/>
  <cols>
    <col min="1" max="1" width="3.453125" style="1" customWidth="1"/>
    <col min="2" max="2" width="36.453125" style="1" customWidth="1"/>
    <col min="3" max="3" width="15" style="1" customWidth="1"/>
    <col min="4" max="4" width="33.54296875" style="1" customWidth="1"/>
    <col min="5" max="5" width="17.26953125" style="1" customWidth="1"/>
    <col min="6" max="16384" width="9.1796875" style="1"/>
  </cols>
  <sheetData>
    <row r="2" spans="1:4" ht="15.5" x14ac:dyDescent="0.35">
      <c r="A2" s="99" t="s">
        <v>114</v>
      </c>
      <c r="B2" s="99"/>
      <c r="C2" s="99"/>
      <c r="D2" s="100"/>
    </row>
    <row r="5" spans="1:4" ht="39" x14ac:dyDescent="0.3">
      <c r="A5" s="21"/>
      <c r="B5" s="21" t="s">
        <v>107</v>
      </c>
      <c r="C5" s="51" t="s">
        <v>96</v>
      </c>
      <c r="D5" s="21" t="s">
        <v>51</v>
      </c>
    </row>
    <row r="6" spans="1:4" ht="14" x14ac:dyDescent="0.3">
      <c r="A6" s="10">
        <v>1</v>
      </c>
      <c r="B6" s="11" t="s">
        <v>56</v>
      </c>
      <c r="C6" s="98">
        <v>8100</v>
      </c>
      <c r="D6" s="10" t="s">
        <v>97</v>
      </c>
    </row>
    <row r="7" spans="1:4" ht="14" x14ac:dyDescent="0.3">
      <c r="A7" s="10">
        <v>2</v>
      </c>
      <c r="B7" s="11" t="s">
        <v>57</v>
      </c>
      <c r="C7" s="98">
        <v>16</v>
      </c>
      <c r="D7" s="10" t="s">
        <v>98</v>
      </c>
    </row>
    <row r="8" spans="1:4" ht="14" x14ac:dyDescent="0.3">
      <c r="A8" s="10">
        <v>3</v>
      </c>
      <c r="B8" s="11" t="s">
        <v>58</v>
      </c>
      <c r="C8" s="98">
        <v>41</v>
      </c>
      <c r="D8" s="10" t="s">
        <v>99</v>
      </c>
    </row>
    <row r="9" spans="1:4" ht="14" x14ac:dyDescent="0.3">
      <c r="A9" s="10">
        <v>4</v>
      </c>
      <c r="B9" s="11" t="s">
        <v>59</v>
      </c>
      <c r="C9" s="98">
        <v>8.3000000000000007</v>
      </c>
      <c r="D9" s="10" t="s">
        <v>100</v>
      </c>
    </row>
    <row r="10" spans="1:4" ht="14" x14ac:dyDescent="0.3">
      <c r="A10" s="10">
        <v>5</v>
      </c>
      <c r="B10" s="11" t="s">
        <v>67</v>
      </c>
      <c r="C10" s="98">
        <v>31</v>
      </c>
      <c r="D10" s="10" t="s">
        <v>101</v>
      </c>
    </row>
    <row r="11" spans="1:4" ht="14" x14ac:dyDescent="0.3">
      <c r="A11" s="10">
        <v>6</v>
      </c>
      <c r="B11" s="11" t="s">
        <v>69</v>
      </c>
      <c r="C11" s="98">
        <v>28</v>
      </c>
      <c r="D11" s="10" t="s">
        <v>101</v>
      </c>
    </row>
    <row r="14" spans="1:4" ht="39" x14ac:dyDescent="0.3">
      <c r="A14" s="81"/>
      <c r="B14" s="82" t="s">
        <v>103</v>
      </c>
      <c r="C14" s="51" t="s">
        <v>96</v>
      </c>
      <c r="D14" s="82" t="s">
        <v>51</v>
      </c>
    </row>
    <row r="15" spans="1:4" ht="14" x14ac:dyDescent="0.3">
      <c r="A15" s="10">
        <v>1</v>
      </c>
      <c r="B15" s="83" t="s">
        <v>104</v>
      </c>
      <c r="C15" s="98">
        <v>2.4E-2</v>
      </c>
      <c r="D15" s="84" t="s">
        <v>108</v>
      </c>
    </row>
    <row r="16" spans="1:4" ht="14" x14ac:dyDescent="0.3">
      <c r="A16" s="10">
        <v>2</v>
      </c>
      <c r="B16" s="83" t="s">
        <v>105</v>
      </c>
      <c r="C16" s="98">
        <v>1.4799999999999999E-4</v>
      </c>
      <c r="D16" s="84" t="s">
        <v>109</v>
      </c>
    </row>
    <row r="17" spans="1:4" ht="14" x14ac:dyDescent="0.3">
      <c r="A17" s="10">
        <v>3</v>
      </c>
      <c r="B17" s="83" t="s">
        <v>106</v>
      </c>
      <c r="C17" s="98">
        <v>989</v>
      </c>
      <c r="D17" s="85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E20C-69EF-44FC-886C-6C8E25DDFDF1}">
  <dimension ref="A2:K31"/>
  <sheetViews>
    <sheetView zoomScale="205" zoomScaleNormal="205" workbookViewId="0">
      <selection activeCell="H7" sqref="H7"/>
    </sheetView>
  </sheetViews>
  <sheetFormatPr defaultRowHeight="14.5" x14ac:dyDescent="0.35"/>
  <cols>
    <col min="1" max="1" width="6.81640625" customWidth="1"/>
    <col min="2" max="2" width="24.7265625" customWidth="1"/>
    <col min="3" max="3" width="12.453125" customWidth="1"/>
    <col min="4" max="4" width="14.54296875" customWidth="1"/>
    <col min="5" max="5" width="13.81640625" customWidth="1"/>
    <col min="6" max="6" width="13.26953125" customWidth="1"/>
    <col min="7" max="7" width="13" customWidth="1"/>
    <col min="8" max="8" width="13.81640625" customWidth="1"/>
    <col min="10" max="10" width="15.1796875" customWidth="1"/>
  </cols>
  <sheetData>
    <row r="2" spans="1:11" x14ac:dyDescent="0.35">
      <c r="A2" s="63" t="s">
        <v>79</v>
      </c>
      <c r="B2" s="63"/>
      <c r="C2" s="63"/>
      <c r="D2" s="64"/>
      <c r="E2" s="64"/>
      <c r="F2" s="64"/>
      <c r="G2" s="64"/>
      <c r="H2" s="64"/>
    </row>
    <row r="4" spans="1:11" ht="33.75" customHeight="1" x14ac:dyDescent="0.35">
      <c r="A4" s="66"/>
      <c r="B4" s="67"/>
      <c r="C4" s="66" t="s">
        <v>56</v>
      </c>
      <c r="D4" s="66" t="s">
        <v>57</v>
      </c>
      <c r="E4" s="66" t="s">
        <v>58</v>
      </c>
      <c r="F4" s="66" t="s">
        <v>59</v>
      </c>
      <c r="G4" s="66" t="s">
        <v>67</v>
      </c>
      <c r="H4" s="66" t="s">
        <v>69</v>
      </c>
      <c r="I4" s="61"/>
      <c r="J4" s="66" t="s">
        <v>111</v>
      </c>
      <c r="K4" s="61"/>
    </row>
    <row r="5" spans="1:11" x14ac:dyDescent="0.35">
      <c r="A5" s="51">
        <v>1</v>
      </c>
      <c r="B5" s="20" t="s">
        <v>85</v>
      </c>
      <c r="C5" s="69">
        <v>9.2800000000000005E-7</v>
      </c>
      <c r="D5" s="69">
        <v>6.29E-4</v>
      </c>
      <c r="E5" s="10">
        <v>0</v>
      </c>
      <c r="F5" s="10">
        <v>0</v>
      </c>
      <c r="G5" s="69">
        <v>9.0999999999999997E-7</v>
      </c>
      <c r="H5" s="10">
        <v>0</v>
      </c>
      <c r="J5" s="86">
        <v>0.4</v>
      </c>
    </row>
    <row r="6" spans="1:11" x14ac:dyDescent="0.35">
      <c r="A6" s="51" t="s">
        <v>75</v>
      </c>
      <c r="B6" s="20" t="s">
        <v>86</v>
      </c>
      <c r="C6" s="69">
        <v>2.7999999999999998E-9</v>
      </c>
      <c r="D6" s="10">
        <v>0</v>
      </c>
      <c r="E6" s="69">
        <v>2.1199999999999999E-7</v>
      </c>
      <c r="F6" s="10">
        <v>0</v>
      </c>
      <c r="G6" s="10">
        <v>0</v>
      </c>
      <c r="H6" s="69">
        <v>1.29E-7</v>
      </c>
      <c r="J6" s="86">
        <v>0.3</v>
      </c>
    </row>
    <row r="7" spans="1:11" x14ac:dyDescent="0.35">
      <c r="A7" s="51" t="s">
        <v>76</v>
      </c>
      <c r="B7" s="20" t="s">
        <v>87</v>
      </c>
      <c r="C7" s="69">
        <v>7.6500000000000002E-14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J7" s="86">
        <v>0.1</v>
      </c>
    </row>
    <row r="8" spans="1:11" x14ac:dyDescent="0.35">
      <c r="A8" s="51" t="s">
        <v>77</v>
      </c>
      <c r="B8" s="20" t="s">
        <v>88</v>
      </c>
      <c r="C8" s="10">
        <v>0</v>
      </c>
      <c r="D8" s="10">
        <v>0</v>
      </c>
      <c r="E8" s="10">
        <v>0</v>
      </c>
      <c r="F8" s="69">
        <v>1.6999999999999999E-9</v>
      </c>
      <c r="G8" s="10">
        <v>0</v>
      </c>
      <c r="H8" s="10">
        <v>0</v>
      </c>
      <c r="J8" s="86">
        <v>0.1</v>
      </c>
    </row>
    <row r="9" spans="1:11" x14ac:dyDescent="0.35">
      <c r="A9" s="51">
        <v>3</v>
      </c>
      <c r="B9" s="20" t="s">
        <v>89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J9" s="86">
        <v>0.1</v>
      </c>
    </row>
    <row r="12" spans="1:11" x14ac:dyDescent="0.35">
      <c r="A12" s="63" t="s">
        <v>93</v>
      </c>
      <c r="B12" s="63"/>
      <c r="C12" s="64"/>
      <c r="D12" s="64"/>
      <c r="E12" s="64"/>
    </row>
    <row r="14" spans="1:11" x14ac:dyDescent="0.35">
      <c r="A14" s="70"/>
      <c r="B14" s="22" t="s">
        <v>84</v>
      </c>
      <c r="C14" s="23" t="s">
        <v>51</v>
      </c>
      <c r="D14" s="23" t="s">
        <v>90</v>
      </c>
      <c r="E14" s="23" t="s">
        <v>80</v>
      </c>
      <c r="G14" s="23" t="s">
        <v>102</v>
      </c>
      <c r="H14" s="23" t="s">
        <v>80</v>
      </c>
      <c r="J14" s="70" t="s">
        <v>112</v>
      </c>
    </row>
    <row r="15" spans="1:11" x14ac:dyDescent="0.35">
      <c r="A15" s="68">
        <v>1</v>
      </c>
      <c r="B15" s="11" t="s">
        <v>85</v>
      </c>
      <c r="C15" s="71" t="s">
        <v>81</v>
      </c>
      <c r="D15" s="69">
        <f t="array" ref="D15:D19">MMULT(C5:H9, 'midpoint scores'!H16:H21)</f>
        <v>1.1948073736959999E-4</v>
      </c>
      <c r="E15" s="72">
        <f>D15</f>
        <v>1.1948073736959999E-4</v>
      </c>
      <c r="G15" s="88">
        <f>E15/normalization!C15</f>
        <v>4.9783640570666664E-3</v>
      </c>
      <c r="H15" s="72">
        <f>G15</f>
        <v>4.9783640570666664E-3</v>
      </c>
      <c r="J15" s="69">
        <f>J5*G15</f>
        <v>1.9913456228266668E-3</v>
      </c>
    </row>
    <row r="16" spans="1:11" x14ac:dyDescent="0.35">
      <c r="A16" s="68" t="s">
        <v>75</v>
      </c>
      <c r="B16" s="11" t="s">
        <v>86</v>
      </c>
      <c r="C16" s="71"/>
      <c r="D16" s="73">
        <v>2.2845732872959997E-7</v>
      </c>
      <c r="E16" s="74"/>
      <c r="G16" s="88">
        <f>D16/normalization!C16</f>
        <v>1.5436305995243241E-3</v>
      </c>
      <c r="H16" s="74"/>
      <c r="J16" s="69">
        <f t="shared" ref="J16:J19" si="0">J6*G16</f>
        <v>4.6308917985729721E-4</v>
      </c>
    </row>
    <row r="17" spans="1:10" x14ac:dyDescent="0.35">
      <c r="A17" s="68" t="s">
        <v>76</v>
      </c>
      <c r="B17" s="11" t="s">
        <v>87</v>
      </c>
      <c r="C17" s="75" t="s">
        <v>83</v>
      </c>
      <c r="D17" s="73">
        <v>3.7232312544000003E-12</v>
      </c>
      <c r="E17" s="76">
        <f>SUM(D16:D18)</f>
        <v>2.2849155400567933E-7</v>
      </c>
      <c r="G17" s="88">
        <f>D17/normalization!C16</f>
        <v>2.5156967935135138E-8</v>
      </c>
      <c r="H17" s="76">
        <f>SUM(G16:G18)</f>
        <v>1.5438618513897251E-3</v>
      </c>
      <c r="J17" s="69">
        <f t="shared" si="0"/>
        <v>2.515696793513514E-9</v>
      </c>
    </row>
    <row r="18" spans="1:10" x14ac:dyDescent="0.35">
      <c r="A18" s="68" t="s">
        <v>77</v>
      </c>
      <c r="B18" s="11" t="s">
        <v>88</v>
      </c>
      <c r="C18" s="77"/>
      <c r="D18" s="73">
        <v>3.0502044824960003E-11</v>
      </c>
      <c r="E18" s="78"/>
      <c r="G18" s="88">
        <f>D18/normalization!C16</f>
        <v>2.0609489746594599E-7</v>
      </c>
      <c r="H18" s="78"/>
      <c r="J18" s="69">
        <f t="shared" si="0"/>
        <v>2.0609489746594599E-8</v>
      </c>
    </row>
    <row r="19" spans="1:10" x14ac:dyDescent="0.35">
      <c r="A19" s="68">
        <v>3</v>
      </c>
      <c r="B19" s="11" t="s">
        <v>89</v>
      </c>
      <c r="C19" s="77" t="s">
        <v>82</v>
      </c>
      <c r="D19" s="69">
        <v>0</v>
      </c>
      <c r="E19" s="79">
        <f>D19</f>
        <v>0</v>
      </c>
      <c r="G19" s="88">
        <f>D19/normalization!C17</f>
        <v>0</v>
      </c>
      <c r="H19" s="79">
        <f>G19</f>
        <v>0</v>
      </c>
      <c r="J19" s="69">
        <f t="shared" si="0"/>
        <v>0</v>
      </c>
    </row>
    <row r="20" spans="1:10" x14ac:dyDescent="0.35">
      <c r="J20" s="87">
        <f>SUM(J15:J19)</f>
        <v>2.4544579278705046E-3</v>
      </c>
    </row>
    <row r="21" spans="1:10" x14ac:dyDescent="0.35">
      <c r="J21" s="50">
        <f>SUMPRODUCT(J5:J9, G15:G19)</f>
        <v>2.4544579278705046E-3</v>
      </c>
    </row>
    <row r="22" spans="1:10" x14ac:dyDescent="0.35">
      <c r="A22" s="63" t="s">
        <v>95</v>
      </c>
      <c r="B22" s="63"/>
      <c r="C22" s="64"/>
      <c r="D22" s="64"/>
      <c r="E22" s="64"/>
    </row>
    <row r="24" spans="1:10" x14ac:dyDescent="0.35">
      <c r="A24" s="70"/>
      <c r="B24" s="22" t="s">
        <v>84</v>
      </c>
      <c r="C24" s="23" t="s">
        <v>51</v>
      </c>
      <c r="D24" s="23" t="s">
        <v>90</v>
      </c>
      <c r="E24" s="23" t="s">
        <v>80</v>
      </c>
      <c r="G24" s="23" t="s">
        <v>102</v>
      </c>
      <c r="H24" s="23" t="s">
        <v>80</v>
      </c>
      <c r="J24" s="66" t="s">
        <v>112</v>
      </c>
    </row>
    <row r="25" spans="1:10" x14ac:dyDescent="0.35">
      <c r="A25" s="68">
        <v>1</v>
      </c>
      <c r="B25" s="11" t="s">
        <v>85</v>
      </c>
      <c r="C25" s="71" t="s">
        <v>81</v>
      </c>
      <c r="D25" s="69">
        <f t="array" ref="D25:D29">MMULT(C5:H9, 'midpoint scores'!H27:H32)</f>
        <v>7.1251327959999996E-4</v>
      </c>
      <c r="E25" s="72">
        <f>D25</f>
        <v>7.1251327959999996E-4</v>
      </c>
      <c r="G25" s="69">
        <f>D25/normalization!C15</f>
        <v>2.9688053316666664E-2</v>
      </c>
      <c r="H25" s="72">
        <f>G25</f>
        <v>2.9688053316666664E-2</v>
      </c>
      <c r="J25" s="69">
        <f>J5*G25</f>
        <v>1.1875221326666666E-2</v>
      </c>
    </row>
    <row r="26" spans="1:10" x14ac:dyDescent="0.35">
      <c r="A26" s="68" t="s">
        <v>75</v>
      </c>
      <c r="B26" s="11" t="s">
        <v>86</v>
      </c>
      <c r="C26" s="71"/>
      <c r="D26" s="80">
        <v>1.3620828046E-6</v>
      </c>
      <c r="E26" s="74"/>
      <c r="G26" s="69">
        <f>D26/normalization!C16</f>
        <v>9.2032621932432428E-3</v>
      </c>
      <c r="H26" s="74"/>
      <c r="J26" s="69">
        <f t="shared" ref="J26:J29" si="1">J6*G26</f>
        <v>2.7609786579729729E-3</v>
      </c>
    </row>
    <row r="27" spans="1:10" x14ac:dyDescent="0.35">
      <c r="A27" s="68" t="s">
        <v>76</v>
      </c>
      <c r="B27" s="11" t="s">
        <v>87</v>
      </c>
      <c r="C27" s="75" t="s">
        <v>83</v>
      </c>
      <c r="D27" s="80">
        <v>2.2210214399999998E-11</v>
      </c>
      <c r="E27" s="76">
        <f>SUM(D26:D28)</f>
        <v>1.36228660471111E-6</v>
      </c>
      <c r="G27" s="69">
        <f>D27/normalization!C16</f>
        <v>1.5006901621621622E-7</v>
      </c>
      <c r="H27" s="76">
        <f>SUM(G26:G28)</f>
        <v>9.2046392210210128E-3</v>
      </c>
      <c r="J27" s="69">
        <f t="shared" si="1"/>
        <v>1.5006901621621623E-8</v>
      </c>
    </row>
    <row r="28" spans="1:10" x14ac:dyDescent="0.35">
      <c r="A28" s="68" t="s">
        <v>77</v>
      </c>
      <c r="B28" s="11" t="s">
        <v>88</v>
      </c>
      <c r="C28" s="77"/>
      <c r="D28" s="80">
        <v>1.8158989671000002E-10</v>
      </c>
      <c r="E28" s="78"/>
      <c r="G28" s="69">
        <f>D28/normalization!C16</f>
        <v>1.2269587615540543E-6</v>
      </c>
      <c r="H28" s="78"/>
      <c r="J28" s="69">
        <f t="shared" si="1"/>
        <v>1.2269587615540543E-7</v>
      </c>
    </row>
    <row r="29" spans="1:10" x14ac:dyDescent="0.35">
      <c r="A29" s="68">
        <v>3</v>
      </c>
      <c r="B29" s="11" t="s">
        <v>89</v>
      </c>
      <c r="C29" s="77" t="s">
        <v>82</v>
      </c>
      <c r="D29" s="69">
        <v>0</v>
      </c>
      <c r="E29" s="79">
        <f>D29</f>
        <v>0</v>
      </c>
      <c r="G29" s="69">
        <f>D29/normalization!C17</f>
        <v>0</v>
      </c>
      <c r="H29" s="79">
        <f>G29</f>
        <v>0</v>
      </c>
      <c r="J29" s="69">
        <f t="shared" si="1"/>
        <v>0</v>
      </c>
    </row>
    <row r="30" spans="1:10" x14ac:dyDescent="0.35">
      <c r="J30" s="87">
        <f>SUM(J25:J29)</f>
        <v>1.4636337687417417E-2</v>
      </c>
    </row>
    <row r="31" spans="1:10" x14ac:dyDescent="0.35">
      <c r="J31" s="50">
        <f>SUMPRODUCT(J5:J9,G25:G29)</f>
        <v>1.4636337687417417E-2</v>
      </c>
    </row>
  </sheetData>
  <conditionalFormatting sqref="C5:H9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LED 10w</vt:lpstr>
      <vt:lpstr>Incand 60w</vt:lpstr>
      <vt:lpstr>midpoint scores</vt:lpstr>
      <vt:lpstr>normalization</vt:lpstr>
      <vt:lpstr>endpoint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 Kim Leng</dc:creator>
  <cp:lastModifiedBy>Poh Kim Leng</cp:lastModifiedBy>
  <dcterms:created xsi:type="dcterms:W3CDTF">2015-06-05T18:17:20Z</dcterms:created>
  <dcterms:modified xsi:type="dcterms:W3CDTF">2026-08-24T05:35:27Z</dcterms:modified>
</cp:coreProperties>
</file>