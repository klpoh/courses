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class00\DSS\dss5202 2026\code\02 LCA\case study 1\"/>
    </mc:Choice>
  </mc:AlternateContent>
  <xr:revisionPtr revIDLastSave="0" documentId="13_ncr:1_{2ECE451B-284D-4131-99CF-E43592B92DE5}" xr6:coauthVersionLast="47" xr6:coauthVersionMax="47" xr10:uidLastSave="{00000000-0000-0000-0000-000000000000}"/>
  <bookViews>
    <workbookView xWindow="380" yWindow="380" windowWidth="33670" windowHeight="12640" activeTab="4" xr2:uid="{00000000-000D-0000-FFFF-FFFF00000000}"/>
  </bookViews>
  <sheets>
    <sheet name="Processes and Flows" sheetId="9" r:id="rId1"/>
    <sheet name="LCI" sheetId="12" r:id="rId2"/>
    <sheet name="CF table" sheetId="16" r:id="rId3"/>
    <sheet name="LCIA midpoints" sheetId="17" r:id="rId4"/>
    <sheet name="LCIA ReCiPe endpoints" sheetId="14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2" l="1" a="1"/>
  <c r="F11" i="12"/>
  <c r="E43" i="9"/>
  <c r="E46" i="9"/>
  <c r="F12" i="12"/>
  <c r="E47" i="9"/>
  <c r="F13" i="12"/>
  <c r="E60" i="9"/>
  <c r="E63" i="9"/>
  <c r="E32" i="9"/>
  <c r="E25" i="9"/>
  <c r="E27" i="9"/>
  <c r="E14" i="9"/>
  <c r="E8" i="9"/>
  <c r="E12" i="9"/>
  <c r="E11" i="9"/>
  <c r="J7" i="14"/>
  <c r="J6" i="14"/>
  <c r="J5" i="14"/>
  <c r="E75" i="9"/>
  <c r="A63" i="9"/>
  <c r="A62" i="9"/>
  <c r="E62" i="9"/>
  <c r="E65" i="9"/>
  <c r="E66" i="9"/>
  <c r="E64" i="9"/>
  <c r="E74" i="9"/>
  <c r="E71" i="9"/>
  <c r="E70" i="9"/>
  <c r="E69" i="9"/>
  <c r="E72" i="9"/>
  <c r="E73" i="9"/>
  <c r="E105" i="9"/>
  <c r="E99" i="9"/>
  <c r="E102" i="9"/>
  <c r="D80" i="9"/>
  <c r="E88" i="9"/>
  <c r="E82" i="9"/>
  <c r="E29" i="9"/>
  <c r="E56" i="9"/>
  <c r="E55" i="9"/>
  <c r="E54" i="9"/>
  <c r="E53" i="9"/>
  <c r="E50" i="9"/>
  <c r="E52" i="9"/>
  <c r="E51" i="9"/>
  <c r="E109" i="9"/>
  <c r="E108" i="9"/>
  <c r="E107" i="9"/>
  <c r="E106" i="9"/>
  <c r="E103" i="9"/>
  <c r="E101" i="9"/>
  <c r="E112" i="9"/>
  <c r="E111" i="9"/>
  <c r="E110" i="9"/>
  <c r="E35" i="9"/>
  <c r="E34" i="9"/>
  <c r="E33" i="9"/>
  <c r="E39" i="9"/>
  <c r="E38" i="9"/>
  <c r="E37" i="9"/>
  <c r="E36" i="9"/>
  <c r="E30" i="9"/>
  <c r="E28" i="9"/>
  <c r="E20" i="9"/>
  <c r="E85" i="9"/>
  <c r="E91" i="9"/>
  <c r="E90" i="9"/>
  <c r="E95" i="9"/>
  <c r="E89" i="9"/>
  <c r="E93" i="9"/>
  <c r="E92" i="9"/>
  <c r="E86" i="9"/>
  <c r="E94" i="9"/>
  <c r="E84" i="9"/>
  <c r="E16" i="9"/>
  <c r="E17" i="9"/>
  <c r="E18" i="9"/>
  <c r="E15" i="9"/>
  <c r="E21" i="9"/>
  <c r="E19" i="9"/>
  <c r="E10" i="9"/>
  <c r="E14" i="17" a="1"/>
  <c r="D11" i="12" a="1"/>
  <c r="D13" i="12"/>
  <c r="E14" i="17"/>
  <c r="E11" i="12" a="1"/>
  <c r="E13" i="12"/>
  <c r="F14" i="17"/>
  <c r="G14" i="17"/>
  <c r="G11" i="12" a="1"/>
  <c r="G13" i="12"/>
  <c r="H14" i="17"/>
  <c r="I11" i="12" a="1"/>
  <c r="I13" i="12"/>
  <c r="J14" i="17"/>
  <c r="H11" i="12" a="1"/>
  <c r="H13" i="12"/>
  <c r="I14" i="17"/>
  <c r="M14" i="17"/>
  <c r="D4" i="12" a="1"/>
  <c r="D5" i="12"/>
  <c r="E4" i="12" a="1"/>
  <c r="E5" i="12"/>
  <c r="F4" i="12" a="1"/>
  <c r="I4" i="12" a="1"/>
  <c r="H4" i="12" a="1"/>
  <c r="G4" i="12" a="1"/>
  <c r="F5" i="12"/>
  <c r="I5" i="12"/>
  <c r="H5" i="12"/>
  <c r="G5" i="12"/>
  <c r="J5" i="12"/>
  <c r="D6" i="12"/>
  <c r="E6" i="12"/>
  <c r="F6" i="12"/>
  <c r="G6" i="12"/>
  <c r="I6" i="12"/>
  <c r="H6" i="12"/>
  <c r="J6" i="12"/>
  <c r="D7" i="12"/>
  <c r="E7" i="12"/>
  <c r="F7" i="12"/>
  <c r="G7" i="12"/>
  <c r="I7" i="12"/>
  <c r="H7" i="12"/>
  <c r="J7" i="12"/>
  <c r="D8" i="12"/>
  <c r="E8" i="12"/>
  <c r="F8" i="12"/>
  <c r="G8" i="12"/>
  <c r="I8" i="12"/>
  <c r="H8" i="12"/>
  <c r="J8" i="12"/>
  <c r="D9" i="12"/>
  <c r="E9" i="12"/>
  <c r="F9" i="12"/>
  <c r="G9" i="12"/>
  <c r="I9" i="12"/>
  <c r="H9" i="12"/>
  <c r="J9" i="12"/>
  <c r="D10" i="12"/>
  <c r="E10" i="12"/>
  <c r="F10" i="12"/>
  <c r="G10" i="12"/>
  <c r="I10" i="12"/>
  <c r="H10" i="12"/>
  <c r="J10" i="12"/>
  <c r="D11" i="12"/>
  <c r="E11" i="12"/>
  <c r="G11" i="12"/>
  <c r="H11" i="12"/>
  <c r="I11" i="12"/>
  <c r="J11" i="12"/>
  <c r="D12" i="12"/>
  <c r="E12" i="12"/>
  <c r="G12" i="12"/>
  <c r="H12" i="12"/>
  <c r="I12" i="12"/>
  <c r="J12" i="12"/>
  <c r="J13" i="12"/>
  <c r="D4" i="12"/>
  <c r="E4" i="12"/>
  <c r="F4" i="12"/>
  <c r="G4" i="12"/>
  <c r="I4" i="12"/>
  <c r="H4" i="12"/>
  <c r="J4" i="12"/>
  <c r="E5" i="17" a="1"/>
  <c r="E5" i="17"/>
  <c r="F5" i="17"/>
  <c r="G5" i="17"/>
  <c r="J5" i="17"/>
  <c r="I5" i="17"/>
  <c r="H5" i="17"/>
  <c r="M5" i="17"/>
  <c r="E6" i="17"/>
  <c r="F6" i="17"/>
  <c r="G6" i="17"/>
  <c r="H6" i="17"/>
  <c r="J6" i="17"/>
  <c r="I6" i="17"/>
  <c r="M6" i="17"/>
  <c r="E7" i="17"/>
  <c r="F7" i="17"/>
  <c r="G7" i="17"/>
  <c r="H7" i="17"/>
  <c r="J7" i="17"/>
  <c r="I7" i="17"/>
  <c r="M7" i="17"/>
  <c r="E8" i="17"/>
  <c r="F8" i="17"/>
  <c r="G8" i="17"/>
  <c r="H8" i="17"/>
  <c r="J8" i="17"/>
  <c r="I8" i="17"/>
  <c r="M8" i="17"/>
  <c r="E9" i="17"/>
  <c r="F9" i="17"/>
  <c r="G9" i="17"/>
  <c r="H9" i="17"/>
  <c r="J9" i="17"/>
  <c r="I9" i="17"/>
  <c r="M9" i="17"/>
  <c r="E10" i="17"/>
  <c r="F10" i="17"/>
  <c r="G10" i="17"/>
  <c r="H10" i="17"/>
  <c r="J10" i="17"/>
  <c r="I10" i="17"/>
  <c r="M10" i="17"/>
  <c r="E11" i="17"/>
  <c r="F11" i="17"/>
  <c r="G11" i="17"/>
  <c r="H11" i="17"/>
  <c r="J11" i="17"/>
  <c r="I11" i="17"/>
  <c r="M11" i="17"/>
  <c r="K14" i="17"/>
  <c r="K5" i="17"/>
  <c r="K6" i="17"/>
  <c r="K7" i="17"/>
  <c r="K8" i="17"/>
  <c r="K9" i="17"/>
  <c r="K10" i="17"/>
  <c r="K11" i="17"/>
  <c r="D14" i="14" a="1"/>
  <c r="D14" i="14"/>
  <c r="D15" i="14"/>
  <c r="D16" i="14"/>
  <c r="D17" i="14"/>
  <c r="D18" i="14"/>
  <c r="D23" i="14"/>
  <c r="D22" i="14"/>
  <c r="D24" i="14"/>
</calcChain>
</file>

<file path=xl/sharedStrings.xml><?xml version="1.0" encoding="utf-8"?>
<sst xmlns="http://schemas.openxmlformats.org/spreadsheetml/2006/main" count="346" uniqueCount="103">
  <si>
    <t>Unit</t>
  </si>
  <si>
    <t>MJ</t>
  </si>
  <si>
    <t>Carbon dioxide</t>
  </si>
  <si>
    <t>kg</t>
  </si>
  <si>
    <t>Methane</t>
  </si>
  <si>
    <t>Sulfur dioxide</t>
  </si>
  <si>
    <t>Nitrogen dioxide</t>
  </si>
  <si>
    <t>t*km</t>
  </si>
  <si>
    <t>Nitrogen monoxide</t>
  </si>
  <si>
    <t>Drinking water production</t>
  </si>
  <si>
    <t>Ethylene production</t>
  </si>
  <si>
    <t>Ethene (ethylene)</t>
  </si>
  <si>
    <t>Energy</t>
  </si>
  <si>
    <t>Polyethylene granulate production</t>
  </si>
  <si>
    <t>Water, drinking</t>
  </si>
  <si>
    <t>Bottled water, at factory</t>
  </si>
  <si>
    <t>Bottle production + water filling</t>
  </si>
  <si>
    <t xml:space="preserve">item </t>
  </si>
  <si>
    <t>Transportation to customers</t>
  </si>
  <si>
    <t>Landfill of plastic wastes</t>
  </si>
  <si>
    <t>Crude oil</t>
  </si>
  <si>
    <t>Scaling factor</t>
  </si>
  <si>
    <t>km</t>
  </si>
  <si>
    <t>Mass</t>
  </si>
  <si>
    <t>Distance to customer</t>
  </si>
  <si>
    <t>Midpoint category</t>
  </si>
  <si>
    <t>Input</t>
  </si>
  <si>
    <t>Output</t>
  </si>
  <si>
    <t xml:space="preserve">Polyethylene granulate </t>
  </si>
  <si>
    <t>Landfill of plastic waste</t>
  </si>
  <si>
    <t>Polyethylene granulates</t>
  </si>
  <si>
    <t>Ground water</t>
  </si>
  <si>
    <t>Drinking Water</t>
  </si>
  <si>
    <t>Land transport</t>
  </si>
  <si>
    <t>Ground Water</t>
  </si>
  <si>
    <t>Elementary flow</t>
  </si>
  <si>
    <t>Characterization unit</t>
  </si>
  <si>
    <t>LCIA profile</t>
  </si>
  <si>
    <t>Life Cycle Inventory</t>
  </si>
  <si>
    <t>Unit process flow</t>
  </si>
  <si>
    <t>Reference flow</t>
  </si>
  <si>
    <t>P1</t>
  </si>
  <si>
    <t>P2</t>
  </si>
  <si>
    <t>P3</t>
  </si>
  <si>
    <t>P4</t>
  </si>
  <si>
    <t>Functioanl unit</t>
  </si>
  <si>
    <t>P5</t>
  </si>
  <si>
    <t>P6</t>
  </si>
  <si>
    <t>Ethylene Production</t>
  </si>
  <si>
    <t>Polyethylene Granulate Production</t>
  </si>
  <si>
    <t>Drinking Water Production</t>
  </si>
  <si>
    <t>PE Bottle Production + Water Filling</t>
  </si>
  <si>
    <t>Transportation to Retailers</t>
  </si>
  <si>
    <t>Landfill of Plastic Wastes</t>
  </si>
  <si>
    <r>
      <t>kg CO</t>
    </r>
    <r>
      <rPr>
        <vertAlign val="sub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 xml:space="preserve"> eq</t>
    </r>
  </si>
  <si>
    <t>Case Study:  LCA Study of a 1-Liter Polyethylene Plastic Bottle</t>
  </si>
  <si>
    <t>Processes and Flows</t>
  </si>
  <si>
    <t>Life Cycle Inventory Tables</t>
  </si>
  <si>
    <t>Mid-Point Category Impact Scores</t>
  </si>
  <si>
    <t>MNVOC</t>
  </si>
  <si>
    <t>PM2.5</t>
  </si>
  <si>
    <t>Mid Point Category Characterization Factors Matrix (ReCiPe 2016)</t>
  </si>
  <si>
    <t>kg NOx eq</t>
  </si>
  <si>
    <t>kg PM2.5 eq</t>
  </si>
  <si>
    <t>kg SO2 eq</t>
  </si>
  <si>
    <t>Fossil resource scarcity</t>
  </si>
  <si>
    <t>kg oil eq</t>
  </si>
  <si>
    <t>Water consumption</t>
  </si>
  <si>
    <t>m3</t>
  </si>
  <si>
    <t>Endpoint (Hierarchic)</t>
  </si>
  <si>
    <t>Resources</t>
  </si>
  <si>
    <t>DALY</t>
  </si>
  <si>
    <t>Species.year</t>
  </si>
  <si>
    <t>USD2013</t>
  </si>
  <si>
    <t>Score</t>
  </si>
  <si>
    <t>2a</t>
  </si>
  <si>
    <t>2b</t>
  </si>
  <si>
    <t>2c</t>
  </si>
  <si>
    <r>
      <t>kg CO</t>
    </r>
    <r>
      <rPr>
        <vertAlign val="subscript"/>
        <sz val="9"/>
        <color theme="1"/>
        <rFont val="Times New Roman"/>
        <family val="1"/>
      </rPr>
      <t>2</t>
    </r>
    <r>
      <rPr>
        <sz val="9"/>
        <color theme="1"/>
        <rFont val="Times New Roman"/>
        <family val="1"/>
      </rPr>
      <t xml:space="preserve"> eq</t>
    </r>
  </si>
  <si>
    <t>Midpoint to Endpoint Characterization Factors (ReCiPe 2016)</t>
  </si>
  <si>
    <t>LCIA Method:  ReCiPe 2016</t>
  </si>
  <si>
    <t>Ozone Formation, Human Health</t>
  </si>
  <si>
    <t>Ozone Formation, Terrestrial Ecosystems</t>
  </si>
  <si>
    <t>Fine Particulate Matter Formation</t>
  </si>
  <si>
    <t>Terrestrial Acidification</t>
  </si>
  <si>
    <t>CC</t>
  </si>
  <si>
    <t>OFH</t>
  </si>
  <si>
    <t>PMF</t>
  </si>
  <si>
    <t>OFE</t>
  </si>
  <si>
    <t>TA</t>
  </si>
  <si>
    <t>FRS</t>
  </si>
  <si>
    <t>WC</t>
  </si>
  <si>
    <t>CO2</t>
  </si>
  <si>
    <t>CH4</t>
  </si>
  <si>
    <t>NO2</t>
  </si>
  <si>
    <t>NO</t>
  </si>
  <si>
    <t>SO2</t>
  </si>
  <si>
    <t>Climate Change (GWP100)</t>
  </si>
  <si>
    <t>CC (GWP100)</t>
  </si>
  <si>
    <t>Human Health</t>
  </si>
  <si>
    <t>Terrestrial Ecosystems</t>
  </si>
  <si>
    <t>Freshwater Ecosystems</t>
  </si>
  <si>
    <t>Marine Ecosystems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</si>
</sst>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0.00000"/>
    <numFmt numFmtId="165" formatCode="0.0000E+00"/>
    <numFmt numFmtId="166" formatCode="_(* #,##0_);_(* \(#,##0\);_(* &quot;-&quot;??_);_(@_)"/>
    <numFmt numFmtId="167" formatCode="0.000E+00"/>
    <numFmt numFmtId="168" formatCode="0.000"/>
    <numFmt numFmtId="169" formatCode="0.0000"/>
    <numFmt numFmtId="170" formatCode="#,##0.0000"/>
    <numFmt numFmtId="171" formatCode="#,##0.0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0"/>
      <name val="Times New Roman"/>
      <family val="1"/>
    </font>
    <font>
      <vertAlign val="subscript"/>
      <sz val="9"/>
      <color theme="1"/>
      <name val="Times New Roman"/>
      <family val="1"/>
    </font>
    <font>
      <sz val="8"/>
      <color theme="1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5">
    <xf numFmtId="0" fontId="0" fillId="0" borderId="0" xfId="0"/>
    <xf numFmtId="0" fontId="1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 wrapText="1"/>
    </xf>
    <xf numFmtId="171" fontId="1" fillId="8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167" fontId="1" fillId="3" borderId="1" xfId="0" applyNumberFormat="1" applyFont="1" applyFill="1" applyBorder="1" applyAlignment="1">
      <alignment vertical="center"/>
    </xf>
    <xf numFmtId="1" fontId="1" fillId="3" borderId="1" xfId="0" applyNumberFormat="1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167" fontId="1" fillId="4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169" fontId="1" fillId="8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vertical="center"/>
    </xf>
    <xf numFmtId="1" fontId="1" fillId="4" borderId="1" xfId="0" applyNumberFormat="1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169" fontId="1" fillId="2" borderId="1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168" fontId="1" fillId="8" borderId="1" xfId="0" applyNumberFormat="1" applyFont="1" applyFill="1" applyBorder="1" applyAlignment="1">
      <alignment horizontal="center" vertical="center"/>
    </xf>
    <xf numFmtId="167" fontId="1" fillId="6" borderId="1" xfId="0" applyNumberFormat="1" applyFont="1" applyFill="1" applyBorder="1" applyAlignment="1">
      <alignment vertical="center"/>
    </xf>
    <xf numFmtId="168" fontId="1" fillId="6" borderId="1" xfId="0" applyNumberFormat="1" applyFont="1" applyFill="1" applyBorder="1" applyAlignment="1">
      <alignment vertical="center"/>
    </xf>
    <xf numFmtId="0" fontId="1" fillId="6" borderId="0" xfId="0" applyFont="1" applyFill="1" applyAlignment="1">
      <alignment horizontal="center" vertical="center"/>
    </xf>
    <xf numFmtId="168" fontId="1" fillId="2" borderId="1" xfId="0" applyNumberFormat="1" applyFont="1" applyFill="1" applyBorder="1" applyAlignment="1">
      <alignment vertical="center"/>
    </xf>
    <xf numFmtId="168" fontId="1" fillId="2" borderId="1" xfId="0" applyNumberFormat="1" applyFont="1" applyFill="1" applyBorder="1" applyAlignment="1">
      <alignment horizontal="right" vertical="center"/>
    </xf>
    <xf numFmtId="1" fontId="1" fillId="6" borderId="1" xfId="0" applyNumberFormat="1" applyFont="1" applyFill="1" applyBorder="1" applyAlignment="1">
      <alignment horizontal="right" vertical="center"/>
    </xf>
    <xf numFmtId="168" fontId="1" fillId="6" borderId="1" xfId="0" applyNumberFormat="1" applyFont="1" applyFill="1" applyBorder="1" applyAlignment="1">
      <alignment horizontal="right" vertical="center"/>
    </xf>
    <xf numFmtId="166" fontId="1" fillId="2" borderId="1" xfId="1" applyNumberFormat="1" applyFont="1" applyFill="1" applyBorder="1" applyAlignment="1">
      <alignment horizontal="center" vertical="center"/>
    </xf>
    <xf numFmtId="169" fontId="1" fillId="0" borderId="1" xfId="0" applyNumberFormat="1" applyFont="1" applyBorder="1" applyAlignment="1">
      <alignment vertical="center"/>
    </xf>
    <xf numFmtId="170" fontId="1" fillId="8" borderId="1" xfId="0" applyNumberFormat="1" applyFont="1" applyFill="1" applyBorder="1" applyAlignment="1">
      <alignment horizontal="center" vertical="center"/>
    </xf>
    <xf numFmtId="169" fontId="1" fillId="8" borderId="1" xfId="0" applyNumberFormat="1" applyFont="1" applyFill="1" applyBorder="1" applyAlignment="1">
      <alignment vertical="center"/>
    </xf>
    <xf numFmtId="165" fontId="1" fillId="4" borderId="1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" fillId="6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9" borderId="0" xfId="0" applyFont="1" applyFill="1" applyAlignment="1">
      <alignment vertical="center"/>
    </xf>
    <xf numFmtId="0" fontId="1" fillId="11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vertical="center"/>
    </xf>
    <xf numFmtId="0" fontId="2" fillId="12" borderId="2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2" fillId="12" borderId="4" xfId="0" applyFont="1" applyFill="1" applyBorder="1" applyAlignment="1">
      <alignment vertical="center"/>
    </xf>
    <xf numFmtId="11" fontId="4" fillId="12" borderId="2" xfId="0" applyNumberFormat="1" applyFont="1" applyFill="1" applyBorder="1" applyAlignment="1">
      <alignment horizontal="center" vertical="center"/>
    </xf>
    <xf numFmtId="11" fontId="4" fillId="12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horizontal="center" vertical="center"/>
    </xf>
    <xf numFmtId="0" fontId="1" fillId="11" borderId="4" xfId="0" applyFont="1" applyFill="1" applyBorder="1" applyAlignment="1">
      <alignment vertical="center"/>
    </xf>
    <xf numFmtId="11" fontId="1" fillId="11" borderId="1" xfId="0" applyNumberFormat="1" applyFont="1" applyFill="1" applyBorder="1" applyAlignment="1">
      <alignment horizontal="center" vertical="center"/>
    </xf>
    <xf numFmtId="11" fontId="9" fillId="11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vertical="center"/>
    </xf>
    <xf numFmtId="11" fontId="9" fillId="5" borderId="1" xfId="0" applyNumberFormat="1" applyFont="1" applyFill="1" applyBorder="1" applyAlignment="1">
      <alignment horizontal="center" vertical="center"/>
    </xf>
    <xf numFmtId="11" fontId="9" fillId="5" borderId="1" xfId="0" applyNumberFormat="1" applyFont="1" applyFill="1" applyBorder="1" applyAlignment="1">
      <alignment horizontal="center" vertical="center" wrapText="1"/>
    </xf>
    <xf numFmtId="11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167" fontId="1" fillId="11" borderId="4" xfId="0" applyNumberFormat="1" applyFont="1" applyFill="1" applyBorder="1" applyAlignment="1">
      <alignment horizontal="center" vertical="center"/>
    </xf>
    <xf numFmtId="167" fontId="1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7" fillId="7" borderId="0" xfId="0" applyFont="1" applyFill="1"/>
    <xf numFmtId="0" fontId="2" fillId="13" borderId="0" xfId="0" applyFont="1" applyFill="1" applyAlignment="1">
      <alignment horizontal="center" vertical="center"/>
    </xf>
    <xf numFmtId="0" fontId="0" fillId="9" borderId="0" xfId="0" applyFill="1" applyAlignment="1">
      <alignment vertical="center"/>
    </xf>
    <xf numFmtId="0" fontId="8" fillId="9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11" fontId="1" fillId="4" borderId="1" xfId="0" applyNumberFormat="1" applyFont="1" applyFill="1" applyBorder="1" applyAlignment="1">
      <alignment vertical="center"/>
    </xf>
    <xf numFmtId="167" fontId="1" fillId="10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167" fontId="1" fillId="0" borderId="0" xfId="0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3114-58A9-4CFA-8C1E-64AE5A0A9BFF}">
  <dimension ref="A1:K120"/>
  <sheetViews>
    <sheetView zoomScale="190" zoomScaleNormal="190" workbookViewId="0">
      <selection activeCell="D106" sqref="D106"/>
    </sheetView>
  </sheetViews>
  <sheetFormatPr defaultColWidth="8.7265625" defaultRowHeight="13" x14ac:dyDescent="0.3"/>
  <cols>
    <col min="1" max="1" width="4.81640625" style="1" customWidth="1"/>
    <col min="2" max="2" width="17.7265625" style="1" customWidth="1"/>
    <col min="3" max="3" width="6.81640625" style="1" customWidth="1"/>
    <col min="4" max="4" width="16" style="1" customWidth="1"/>
    <col min="5" max="5" width="19.54296875" style="1" customWidth="1"/>
    <col min="6" max="6" width="14.1796875" style="1" customWidth="1"/>
    <col min="7" max="7" width="10.54296875" style="1" customWidth="1"/>
    <col min="8" max="8" width="11.7265625" style="1" customWidth="1"/>
    <col min="9" max="9" width="13.1796875" style="1" customWidth="1"/>
    <col min="10" max="10" width="8.7265625" style="1"/>
    <col min="11" max="11" width="11.1796875" style="1" customWidth="1"/>
    <col min="12" max="16384" width="8.7265625" style="1"/>
  </cols>
  <sheetData>
    <row r="1" spans="1:6" ht="15.5" x14ac:dyDescent="0.3">
      <c r="A1" s="53" t="s">
        <v>55</v>
      </c>
      <c r="B1" s="53"/>
      <c r="C1" s="53"/>
      <c r="D1" s="53"/>
      <c r="E1" s="52"/>
    </row>
    <row r="2" spans="1:6" ht="15.5" x14ac:dyDescent="0.35">
      <c r="A2" s="84" t="s">
        <v>80</v>
      </c>
      <c r="B2" s="84"/>
      <c r="C2" s="84"/>
      <c r="D2" s="84"/>
      <c r="E2" s="84"/>
    </row>
    <row r="4" spans="1:6" x14ac:dyDescent="0.3">
      <c r="A4" s="19"/>
      <c r="B4" s="19"/>
      <c r="C4" s="19"/>
      <c r="D4" s="19"/>
      <c r="E4" s="19"/>
    </row>
    <row r="5" spans="1:6" ht="15.5" x14ac:dyDescent="0.3">
      <c r="A5" s="54" t="s">
        <v>56</v>
      </c>
      <c r="B5" s="54"/>
      <c r="C5" s="54"/>
      <c r="D5" s="54"/>
      <c r="E5" s="54"/>
    </row>
    <row r="6" spans="1:6" x14ac:dyDescent="0.3">
      <c r="A6" s="19"/>
      <c r="B6" s="19"/>
      <c r="C6" s="19"/>
      <c r="D6" s="19"/>
      <c r="E6" s="19"/>
    </row>
    <row r="7" spans="1:6" x14ac:dyDescent="0.3">
      <c r="A7" s="20" t="s">
        <v>48</v>
      </c>
      <c r="B7" s="21"/>
      <c r="C7" s="20"/>
      <c r="D7" s="21"/>
      <c r="E7" s="21"/>
      <c r="F7" s="19"/>
    </row>
    <row r="8" spans="1:6" x14ac:dyDescent="0.3">
      <c r="A8" s="22"/>
      <c r="B8" s="22"/>
      <c r="C8" s="55"/>
      <c r="D8" s="23" t="s">
        <v>21</v>
      </c>
      <c r="E8" s="24">
        <f>E14/D14</f>
        <v>3.4000000000000002E-2</v>
      </c>
      <c r="F8" s="19"/>
    </row>
    <row r="9" spans="1:6" x14ac:dyDescent="0.3">
      <c r="A9" s="25"/>
      <c r="B9" s="26" t="s">
        <v>26</v>
      </c>
      <c r="C9" s="28" t="s">
        <v>0</v>
      </c>
      <c r="D9" s="28" t="s">
        <v>39</v>
      </c>
      <c r="E9" s="28" t="s">
        <v>40</v>
      </c>
      <c r="F9" s="19"/>
    </row>
    <row r="10" spans="1:6" x14ac:dyDescent="0.3">
      <c r="A10" s="13">
        <v>1</v>
      </c>
      <c r="B10" s="29" t="s">
        <v>20</v>
      </c>
      <c r="C10" s="13" t="s">
        <v>3</v>
      </c>
      <c r="D10" s="18">
        <v>1.45</v>
      </c>
      <c r="E10" s="18">
        <f>D10*$E$8</f>
        <v>4.9300000000000004E-2</v>
      </c>
      <c r="F10" s="19"/>
    </row>
    <row r="11" spans="1:6" x14ac:dyDescent="0.3">
      <c r="A11" s="13">
        <v>2</v>
      </c>
      <c r="B11" s="29" t="s">
        <v>31</v>
      </c>
      <c r="C11" s="13" t="s">
        <v>68</v>
      </c>
      <c r="D11" s="30">
        <v>0</v>
      </c>
      <c r="E11" s="30">
        <f>D11*$E$8</f>
        <v>0</v>
      </c>
      <c r="F11" s="19"/>
    </row>
    <row r="12" spans="1:6" x14ac:dyDescent="0.3">
      <c r="A12" s="13">
        <v>3</v>
      </c>
      <c r="B12" s="29" t="s">
        <v>12</v>
      </c>
      <c r="C12" s="13" t="s">
        <v>1</v>
      </c>
      <c r="D12" s="18">
        <v>31.263000000000002</v>
      </c>
      <c r="E12" s="18">
        <f>D12*$E$8</f>
        <v>1.0629420000000001</v>
      </c>
      <c r="F12" s="19"/>
    </row>
    <row r="13" spans="1:6" x14ac:dyDescent="0.3">
      <c r="A13" s="25"/>
      <c r="B13" s="31" t="s">
        <v>27</v>
      </c>
      <c r="C13" s="5"/>
      <c r="D13" s="5"/>
      <c r="E13" s="19"/>
      <c r="F13" s="19"/>
    </row>
    <row r="14" spans="1:6" x14ac:dyDescent="0.3">
      <c r="A14" s="32" t="s">
        <v>41</v>
      </c>
      <c r="B14" s="33" t="s">
        <v>11</v>
      </c>
      <c r="C14" s="32" t="s">
        <v>3</v>
      </c>
      <c r="D14" s="34">
        <v>1</v>
      </c>
      <c r="E14" s="35">
        <f>E27</f>
        <v>3.4000000000000002E-2</v>
      </c>
      <c r="F14" s="19"/>
    </row>
    <row r="15" spans="1:6" x14ac:dyDescent="0.3">
      <c r="A15" s="12">
        <v>1</v>
      </c>
      <c r="B15" s="36" t="s">
        <v>2</v>
      </c>
      <c r="C15" s="12" t="s">
        <v>3</v>
      </c>
      <c r="D15" s="15">
        <v>1.1568000000000001</v>
      </c>
      <c r="E15" s="15">
        <f>D15*$E$8</f>
        <v>3.9331200000000004E-2</v>
      </c>
      <c r="F15" s="19"/>
    </row>
    <row r="16" spans="1:6" x14ac:dyDescent="0.3">
      <c r="A16" s="12">
        <v>2</v>
      </c>
      <c r="B16" s="36" t="s">
        <v>4</v>
      </c>
      <c r="C16" s="12" t="s">
        <v>3</v>
      </c>
      <c r="D16" s="15">
        <v>7.5131E-3</v>
      </c>
      <c r="E16" s="15">
        <f t="shared" ref="E16:E21" si="0">D16*$E$8</f>
        <v>2.5544540000000001E-4</v>
      </c>
      <c r="F16" s="19"/>
    </row>
    <row r="17" spans="1:6" x14ac:dyDescent="0.3">
      <c r="A17" s="12">
        <v>3</v>
      </c>
      <c r="B17" s="36" t="s">
        <v>6</v>
      </c>
      <c r="C17" s="12" t="s">
        <v>3</v>
      </c>
      <c r="D17" s="15">
        <v>2.1191000000000001E-3</v>
      </c>
      <c r="E17" s="15">
        <f t="shared" si="0"/>
        <v>7.2049400000000002E-5</v>
      </c>
      <c r="F17" s="19"/>
    </row>
    <row r="18" spans="1:6" x14ac:dyDescent="0.3">
      <c r="A18" s="12">
        <v>4</v>
      </c>
      <c r="B18" s="36" t="s">
        <v>8</v>
      </c>
      <c r="C18" s="12" t="s">
        <v>3</v>
      </c>
      <c r="D18" s="15">
        <v>1.5269999999999999E-11</v>
      </c>
      <c r="E18" s="15">
        <f t="shared" si="0"/>
        <v>5.1918000000000002E-13</v>
      </c>
      <c r="F18" s="19"/>
    </row>
    <row r="19" spans="1:6" x14ac:dyDescent="0.3">
      <c r="A19" s="12">
        <v>5</v>
      </c>
      <c r="B19" s="36" t="s">
        <v>5</v>
      </c>
      <c r="C19" s="12" t="s">
        <v>3</v>
      </c>
      <c r="D19" s="15">
        <v>2.5141999999999999E-3</v>
      </c>
      <c r="E19" s="15">
        <f t="shared" si="0"/>
        <v>8.5482800000000008E-5</v>
      </c>
      <c r="F19" s="19"/>
    </row>
    <row r="20" spans="1:6" x14ac:dyDescent="0.3">
      <c r="A20" s="12">
        <v>6</v>
      </c>
      <c r="B20" s="36" t="s">
        <v>59</v>
      </c>
      <c r="C20" s="12" t="s">
        <v>3</v>
      </c>
      <c r="D20" s="15">
        <v>1.6368999999999999E-6</v>
      </c>
      <c r="E20" s="15">
        <f t="shared" si="0"/>
        <v>5.5654600000000003E-8</v>
      </c>
      <c r="F20" s="19"/>
    </row>
    <row r="21" spans="1:6" x14ac:dyDescent="0.3">
      <c r="A21" s="12">
        <v>7</v>
      </c>
      <c r="B21" s="36" t="s">
        <v>60</v>
      </c>
      <c r="C21" s="12" t="s">
        <v>3</v>
      </c>
      <c r="D21" s="15">
        <v>1.0251E-7</v>
      </c>
      <c r="E21" s="15">
        <f t="shared" si="0"/>
        <v>3.4853400000000003E-9</v>
      </c>
      <c r="F21" s="19"/>
    </row>
    <row r="22" spans="1:6" x14ac:dyDescent="0.3">
      <c r="A22" s="19"/>
      <c r="B22" s="19"/>
      <c r="C22" s="4"/>
      <c r="D22" s="19"/>
      <c r="E22" s="19"/>
      <c r="F22" s="19"/>
    </row>
    <row r="23" spans="1:6" x14ac:dyDescent="0.3">
      <c r="A23" s="19"/>
      <c r="B23" s="19"/>
      <c r="C23" s="4"/>
      <c r="D23" s="19"/>
      <c r="E23" s="19"/>
      <c r="F23" s="19"/>
    </row>
    <row r="24" spans="1:6" x14ac:dyDescent="0.3">
      <c r="A24" s="20" t="s">
        <v>49</v>
      </c>
      <c r="B24" s="21"/>
      <c r="C24" s="56"/>
      <c r="D24" s="21"/>
      <c r="E24" s="21"/>
      <c r="F24" s="19"/>
    </row>
    <row r="25" spans="1:6" x14ac:dyDescent="0.3">
      <c r="A25" s="22"/>
      <c r="B25" s="22"/>
      <c r="C25" s="55"/>
      <c r="D25" s="37" t="s">
        <v>21</v>
      </c>
      <c r="E25" s="38">
        <f>E32/D32</f>
        <v>0.04</v>
      </c>
      <c r="F25" s="19"/>
    </row>
    <row r="26" spans="1:6" x14ac:dyDescent="0.3">
      <c r="A26" s="25"/>
      <c r="B26" s="27" t="s">
        <v>26</v>
      </c>
      <c r="C26" s="28" t="s">
        <v>0</v>
      </c>
      <c r="D26" s="28" t="s">
        <v>39</v>
      </c>
      <c r="E26" s="28" t="s">
        <v>40</v>
      </c>
      <c r="F26" s="19"/>
    </row>
    <row r="27" spans="1:6" x14ac:dyDescent="0.3">
      <c r="A27" s="32" t="s">
        <v>41</v>
      </c>
      <c r="B27" s="34" t="s">
        <v>11</v>
      </c>
      <c r="C27" s="32" t="s">
        <v>3</v>
      </c>
      <c r="D27" s="39">
        <v>0.85</v>
      </c>
      <c r="E27" s="40">
        <f>$E$25*D27</f>
        <v>3.4000000000000002E-2</v>
      </c>
      <c r="F27" s="19"/>
    </row>
    <row r="28" spans="1:6" x14ac:dyDescent="0.3">
      <c r="A28" s="13">
        <v>1</v>
      </c>
      <c r="B28" s="17" t="s">
        <v>20</v>
      </c>
      <c r="C28" s="13" t="s">
        <v>3</v>
      </c>
      <c r="D28" s="30">
        <v>0</v>
      </c>
      <c r="E28" s="30">
        <f>$E$25*D28</f>
        <v>0</v>
      </c>
      <c r="F28" s="19"/>
    </row>
    <row r="29" spans="1:6" x14ac:dyDescent="0.3">
      <c r="A29" s="13">
        <v>2</v>
      </c>
      <c r="B29" s="17" t="s">
        <v>31</v>
      </c>
      <c r="C29" s="13" t="s">
        <v>68</v>
      </c>
      <c r="D29" s="30">
        <v>0</v>
      </c>
      <c r="E29" s="30">
        <f>$E$25*D29</f>
        <v>0</v>
      </c>
      <c r="F29" s="19"/>
    </row>
    <row r="30" spans="1:6" x14ac:dyDescent="0.3">
      <c r="A30" s="13">
        <v>3</v>
      </c>
      <c r="B30" s="17" t="s">
        <v>12</v>
      </c>
      <c r="C30" s="13" t="s">
        <v>1</v>
      </c>
      <c r="D30" s="18">
        <v>27.401</v>
      </c>
      <c r="E30" s="18">
        <f>$E$25*D30</f>
        <v>1.0960400000000001</v>
      </c>
      <c r="F30" s="19"/>
    </row>
    <row r="31" spans="1:6" x14ac:dyDescent="0.3">
      <c r="A31" s="25"/>
      <c r="B31" s="27" t="s">
        <v>27</v>
      </c>
      <c r="C31" s="5"/>
      <c r="D31" s="5"/>
      <c r="E31" s="5"/>
      <c r="F31" s="19"/>
    </row>
    <row r="32" spans="1:6" x14ac:dyDescent="0.3">
      <c r="A32" s="41" t="s">
        <v>42</v>
      </c>
      <c r="B32" s="7" t="s">
        <v>28</v>
      </c>
      <c r="C32" s="32" t="s">
        <v>3</v>
      </c>
      <c r="D32" s="34">
        <v>1</v>
      </c>
      <c r="E32" s="42">
        <f>E63</f>
        <v>0.04</v>
      </c>
      <c r="F32" s="19"/>
    </row>
    <row r="33" spans="1:6" x14ac:dyDescent="0.3">
      <c r="A33" s="12">
        <v>1</v>
      </c>
      <c r="B33" s="14" t="s">
        <v>2</v>
      </c>
      <c r="C33" s="12" t="s">
        <v>3</v>
      </c>
      <c r="D33" s="15">
        <v>1.5668</v>
      </c>
      <c r="E33" s="15">
        <f>$E$25*D33</f>
        <v>6.2672000000000005E-2</v>
      </c>
      <c r="F33" s="19"/>
    </row>
    <row r="34" spans="1:6" x14ac:dyDescent="0.3">
      <c r="A34" s="12">
        <v>2</v>
      </c>
      <c r="B34" s="14" t="s">
        <v>4</v>
      </c>
      <c r="C34" s="12" t="s">
        <v>3</v>
      </c>
      <c r="D34" s="15">
        <v>1.4198000000000001E-2</v>
      </c>
      <c r="E34" s="15">
        <f t="shared" ref="E34:E39" si="1">$E$25*D34</f>
        <v>5.6792000000000008E-4</v>
      </c>
      <c r="F34" s="19"/>
    </row>
    <row r="35" spans="1:6" x14ac:dyDescent="0.3">
      <c r="A35" s="12">
        <v>3</v>
      </c>
      <c r="B35" s="14" t="s">
        <v>6</v>
      </c>
      <c r="C35" s="12" t="s">
        <v>3</v>
      </c>
      <c r="D35" s="15">
        <v>3.2299999999999998E-3</v>
      </c>
      <c r="E35" s="15">
        <f t="shared" si="1"/>
        <v>1.292E-4</v>
      </c>
      <c r="F35" s="19"/>
    </row>
    <row r="36" spans="1:6" x14ac:dyDescent="0.3">
      <c r="A36" s="12">
        <v>4</v>
      </c>
      <c r="B36" s="14" t="s">
        <v>8</v>
      </c>
      <c r="C36" s="12" t="s">
        <v>3</v>
      </c>
      <c r="D36" s="15">
        <v>0</v>
      </c>
      <c r="E36" s="15">
        <f t="shared" si="1"/>
        <v>0</v>
      </c>
      <c r="F36" s="19"/>
    </row>
    <row r="37" spans="1:6" x14ac:dyDescent="0.3">
      <c r="A37" s="12">
        <v>5</v>
      </c>
      <c r="B37" s="14" t="s">
        <v>5</v>
      </c>
      <c r="C37" s="12" t="s">
        <v>3</v>
      </c>
      <c r="D37" s="15">
        <v>4.0765000000000003E-3</v>
      </c>
      <c r="E37" s="15">
        <f t="shared" si="1"/>
        <v>1.6306E-4</v>
      </c>
      <c r="F37" s="19"/>
    </row>
    <row r="38" spans="1:6" x14ac:dyDescent="0.3">
      <c r="A38" s="12">
        <v>6</v>
      </c>
      <c r="B38" s="36" t="s">
        <v>59</v>
      </c>
      <c r="C38" s="12" t="s">
        <v>3</v>
      </c>
      <c r="D38" s="15">
        <v>1.4637999999999999E-4</v>
      </c>
      <c r="E38" s="15">
        <f t="shared" si="1"/>
        <v>5.8551999999999994E-6</v>
      </c>
      <c r="F38" s="19"/>
    </row>
    <row r="39" spans="1:6" x14ac:dyDescent="0.3">
      <c r="A39" s="12">
        <v>7</v>
      </c>
      <c r="B39" s="36" t="s">
        <v>60</v>
      </c>
      <c r="C39" s="12" t="s">
        <v>3</v>
      </c>
      <c r="D39" s="15">
        <v>9.9479000000000001E-6</v>
      </c>
      <c r="E39" s="15">
        <f t="shared" si="1"/>
        <v>3.97916E-7</v>
      </c>
      <c r="F39" s="19"/>
    </row>
    <row r="40" spans="1:6" x14ac:dyDescent="0.3">
      <c r="A40" s="19"/>
      <c r="B40" s="19"/>
      <c r="C40" s="4"/>
      <c r="D40" s="19"/>
      <c r="E40" s="19"/>
      <c r="F40" s="19"/>
    </row>
    <row r="41" spans="1:6" x14ac:dyDescent="0.3">
      <c r="A41" s="19"/>
      <c r="B41" s="19"/>
      <c r="C41" s="4"/>
      <c r="D41" s="19"/>
      <c r="E41" s="19"/>
      <c r="F41" s="19"/>
    </row>
    <row r="42" spans="1:6" x14ac:dyDescent="0.3">
      <c r="A42" s="20" t="s">
        <v>50</v>
      </c>
      <c r="B42" s="20"/>
      <c r="C42" s="57"/>
      <c r="D42" s="21"/>
      <c r="E42" s="21"/>
      <c r="F42" s="19"/>
    </row>
    <row r="43" spans="1:6" x14ac:dyDescent="0.3">
      <c r="A43" s="22"/>
      <c r="B43" s="22"/>
      <c r="C43" s="55"/>
      <c r="D43" s="37" t="s">
        <v>21</v>
      </c>
      <c r="E43" s="38">
        <f>E49/D49</f>
        <v>1</v>
      </c>
      <c r="F43" s="19"/>
    </row>
    <row r="44" spans="1:6" x14ac:dyDescent="0.3">
      <c r="A44" s="25"/>
      <c r="B44" s="27" t="s">
        <v>26</v>
      </c>
      <c r="C44" s="28" t="s">
        <v>0</v>
      </c>
      <c r="D44" s="28" t="s">
        <v>39</v>
      </c>
      <c r="E44" s="28" t="s">
        <v>40</v>
      </c>
      <c r="F44" s="19"/>
    </row>
    <row r="45" spans="1:6" x14ac:dyDescent="0.3">
      <c r="A45" s="13">
        <v>1</v>
      </c>
      <c r="B45" s="17" t="s">
        <v>20</v>
      </c>
      <c r="C45" s="13" t="s">
        <v>3</v>
      </c>
      <c r="D45" s="30">
        <v>0</v>
      </c>
      <c r="E45" s="30">
        <v>0</v>
      </c>
      <c r="F45" s="19"/>
    </row>
    <row r="46" spans="1:6" x14ac:dyDescent="0.3">
      <c r="A46" s="13">
        <v>2</v>
      </c>
      <c r="B46" s="17" t="s">
        <v>31</v>
      </c>
      <c r="C46" s="13" t="s">
        <v>68</v>
      </c>
      <c r="D46" s="18">
        <v>1.0196000000000001E-3</v>
      </c>
      <c r="E46" s="18">
        <f>$E$43*D46</f>
        <v>1.0196000000000001E-3</v>
      </c>
      <c r="F46" s="19"/>
    </row>
    <row r="47" spans="1:6" x14ac:dyDescent="0.3">
      <c r="A47" s="13">
        <v>3</v>
      </c>
      <c r="B47" s="17" t="s">
        <v>12</v>
      </c>
      <c r="C47" s="13" t="s">
        <v>1</v>
      </c>
      <c r="D47" s="18">
        <v>1.3018E-2</v>
      </c>
      <c r="E47" s="18">
        <f>$E$43*D47</f>
        <v>1.3018E-2</v>
      </c>
      <c r="F47" s="19"/>
    </row>
    <row r="48" spans="1:6" x14ac:dyDescent="0.3">
      <c r="A48" s="25"/>
      <c r="B48" s="27" t="s">
        <v>27</v>
      </c>
      <c r="C48" s="5"/>
      <c r="D48" s="5"/>
      <c r="E48" s="22"/>
      <c r="F48" s="19"/>
    </row>
    <row r="49" spans="1:6" x14ac:dyDescent="0.3">
      <c r="A49" s="32" t="s">
        <v>43</v>
      </c>
      <c r="B49" s="34" t="s">
        <v>14</v>
      </c>
      <c r="C49" s="32" t="s">
        <v>3</v>
      </c>
      <c r="D49" s="40">
        <v>1</v>
      </c>
      <c r="E49" s="43">
        <v>1</v>
      </c>
      <c r="F49" s="19"/>
    </row>
    <row r="50" spans="1:6" x14ac:dyDescent="0.3">
      <c r="A50" s="12">
        <v>1</v>
      </c>
      <c r="B50" s="14" t="s">
        <v>2</v>
      </c>
      <c r="C50" s="12" t="s">
        <v>3</v>
      </c>
      <c r="D50" s="15">
        <v>5.5491000000000004E-4</v>
      </c>
      <c r="E50" s="15">
        <f>$E$43*D50</f>
        <v>5.5491000000000004E-4</v>
      </c>
      <c r="F50" s="19"/>
    </row>
    <row r="51" spans="1:6" x14ac:dyDescent="0.3">
      <c r="A51" s="12">
        <v>2</v>
      </c>
      <c r="B51" s="14" t="s">
        <v>4</v>
      </c>
      <c r="C51" s="12" t="s">
        <v>3</v>
      </c>
      <c r="D51" s="15">
        <v>6.0894000000000005E-7</v>
      </c>
      <c r="E51" s="15">
        <f t="shared" ref="E51:E56" si="2">$E$43*D51</f>
        <v>6.0894000000000005E-7</v>
      </c>
      <c r="F51" s="19"/>
    </row>
    <row r="52" spans="1:6" x14ac:dyDescent="0.3">
      <c r="A52" s="12">
        <v>3</v>
      </c>
      <c r="B52" s="14" t="s">
        <v>6</v>
      </c>
      <c r="C52" s="12" t="s">
        <v>3</v>
      </c>
      <c r="D52" s="15">
        <v>1.124E-6</v>
      </c>
      <c r="E52" s="15">
        <f t="shared" si="2"/>
        <v>1.124E-6</v>
      </c>
      <c r="F52" s="19"/>
    </row>
    <row r="53" spans="1:6" x14ac:dyDescent="0.3">
      <c r="A53" s="12">
        <v>4</v>
      </c>
      <c r="B53" s="14" t="s">
        <v>8</v>
      </c>
      <c r="C53" s="12" t="s">
        <v>3</v>
      </c>
      <c r="D53" s="15">
        <v>6.2636999999999996E-16</v>
      </c>
      <c r="E53" s="15">
        <f t="shared" si="2"/>
        <v>6.2636999999999996E-16</v>
      </c>
      <c r="F53" s="19"/>
    </row>
    <row r="54" spans="1:6" x14ac:dyDescent="0.3">
      <c r="A54" s="12">
        <v>5</v>
      </c>
      <c r="B54" s="14" t="s">
        <v>5</v>
      </c>
      <c r="C54" s="12" t="s">
        <v>3</v>
      </c>
      <c r="D54" s="15">
        <v>6.0455E-7</v>
      </c>
      <c r="E54" s="15">
        <f t="shared" si="2"/>
        <v>6.0455E-7</v>
      </c>
      <c r="F54" s="19"/>
    </row>
    <row r="55" spans="1:6" x14ac:dyDescent="0.3">
      <c r="A55" s="12">
        <v>6</v>
      </c>
      <c r="B55" s="36" t="s">
        <v>59</v>
      </c>
      <c r="C55" s="12" t="s">
        <v>3</v>
      </c>
      <c r="D55" s="15">
        <v>4.6995000000000002E-10</v>
      </c>
      <c r="E55" s="15">
        <f t="shared" si="2"/>
        <v>4.6995000000000002E-10</v>
      </c>
      <c r="F55" s="19"/>
    </row>
    <row r="56" spans="1:6" x14ac:dyDescent="0.3">
      <c r="A56" s="12">
        <v>7</v>
      </c>
      <c r="B56" s="36" t="s">
        <v>60</v>
      </c>
      <c r="C56" s="12" t="s">
        <v>3</v>
      </c>
      <c r="D56" s="15">
        <v>1.9429000000000001E-12</v>
      </c>
      <c r="E56" s="15">
        <f t="shared" si="2"/>
        <v>1.9429000000000001E-12</v>
      </c>
      <c r="F56" s="19"/>
    </row>
    <row r="57" spans="1:6" x14ac:dyDescent="0.3">
      <c r="A57" s="19"/>
      <c r="B57" s="19"/>
      <c r="C57" s="4"/>
      <c r="D57" s="19"/>
      <c r="E57" s="19"/>
      <c r="F57" s="19"/>
    </row>
    <row r="58" spans="1:6" x14ac:dyDescent="0.3">
      <c r="A58" s="19"/>
      <c r="B58" s="19"/>
      <c r="C58" s="4"/>
      <c r="D58" s="19"/>
      <c r="E58" s="19"/>
      <c r="F58" s="19"/>
    </row>
    <row r="59" spans="1:6" x14ac:dyDescent="0.3">
      <c r="A59" s="20" t="s">
        <v>51</v>
      </c>
      <c r="B59" s="21"/>
      <c r="C59" s="56"/>
      <c r="D59" s="21"/>
      <c r="E59" s="21"/>
      <c r="F59" s="19"/>
    </row>
    <row r="60" spans="1:6" x14ac:dyDescent="0.3">
      <c r="A60" s="22"/>
      <c r="B60" s="22"/>
      <c r="C60" s="55"/>
      <c r="D60" s="23" t="s">
        <v>21</v>
      </c>
      <c r="E60" s="10">
        <f>E68/D68</f>
        <v>1</v>
      </c>
      <c r="F60" s="19"/>
    </row>
    <row r="61" spans="1:6" x14ac:dyDescent="0.3">
      <c r="A61" s="25"/>
      <c r="B61" s="27" t="s">
        <v>26</v>
      </c>
      <c r="C61" s="28" t="s">
        <v>0</v>
      </c>
      <c r="D61" s="28" t="s">
        <v>39</v>
      </c>
      <c r="E61" s="28" t="s">
        <v>40</v>
      </c>
      <c r="F61" s="19"/>
    </row>
    <row r="62" spans="1:6" x14ac:dyDescent="0.3">
      <c r="A62" s="32" t="str">
        <f>A49</f>
        <v>P3</v>
      </c>
      <c r="B62" s="34" t="s">
        <v>32</v>
      </c>
      <c r="C62" s="32" t="s">
        <v>3</v>
      </c>
      <c r="D62" s="34">
        <v>1</v>
      </c>
      <c r="E62" s="44">
        <f>D62*$E$60</f>
        <v>1</v>
      </c>
      <c r="F62" s="19"/>
    </row>
    <row r="63" spans="1:6" x14ac:dyDescent="0.3">
      <c r="A63" s="32" t="str">
        <f>A32</f>
        <v>P2</v>
      </c>
      <c r="B63" s="34" t="s">
        <v>30</v>
      </c>
      <c r="C63" s="32" t="s">
        <v>3</v>
      </c>
      <c r="D63" s="39">
        <v>0.04</v>
      </c>
      <c r="E63" s="45">
        <f>D63*$E$60</f>
        <v>0.04</v>
      </c>
      <c r="F63" s="19"/>
    </row>
    <row r="64" spans="1:6" x14ac:dyDescent="0.3">
      <c r="A64" s="13">
        <v>1</v>
      </c>
      <c r="B64" s="17" t="s">
        <v>20</v>
      </c>
      <c r="C64" s="13" t="s">
        <v>3</v>
      </c>
      <c r="D64" s="17">
        <v>0</v>
      </c>
      <c r="E64" s="17">
        <f>D64*$E$60</f>
        <v>0</v>
      </c>
      <c r="F64" s="19"/>
    </row>
    <row r="65" spans="1:6" x14ac:dyDescent="0.3">
      <c r="A65" s="13">
        <v>2</v>
      </c>
      <c r="B65" s="17" t="s">
        <v>31</v>
      </c>
      <c r="C65" s="13" t="s">
        <v>68</v>
      </c>
      <c r="D65" s="30">
        <v>0</v>
      </c>
      <c r="E65" s="30">
        <f>D65*$E$60</f>
        <v>0</v>
      </c>
      <c r="F65" s="19"/>
    </row>
    <row r="66" spans="1:6" x14ac:dyDescent="0.3">
      <c r="A66" s="13">
        <v>3</v>
      </c>
      <c r="B66" s="17" t="s">
        <v>12</v>
      </c>
      <c r="C66" s="13" t="s">
        <v>1</v>
      </c>
      <c r="D66" s="18">
        <v>3</v>
      </c>
      <c r="E66" s="18">
        <f>D66*$E$60</f>
        <v>3</v>
      </c>
      <c r="F66" s="19"/>
    </row>
    <row r="67" spans="1:6" x14ac:dyDescent="0.3">
      <c r="A67" s="25"/>
      <c r="B67" s="27" t="s">
        <v>27</v>
      </c>
      <c r="C67" s="5"/>
      <c r="D67" s="5"/>
      <c r="E67" s="22"/>
      <c r="F67" s="19"/>
    </row>
    <row r="68" spans="1:6" x14ac:dyDescent="0.3">
      <c r="A68" s="41" t="s">
        <v>44</v>
      </c>
      <c r="B68" s="34" t="s">
        <v>15</v>
      </c>
      <c r="C68" s="32" t="s">
        <v>17</v>
      </c>
      <c r="D68" s="34">
        <v>1</v>
      </c>
      <c r="E68" s="46">
        <v>1</v>
      </c>
      <c r="F68" s="85" t="s">
        <v>45</v>
      </c>
    </row>
    <row r="69" spans="1:6" x14ac:dyDescent="0.3">
      <c r="A69" s="12">
        <v>1</v>
      </c>
      <c r="B69" s="14" t="s">
        <v>2</v>
      </c>
      <c r="C69" s="12" t="s">
        <v>3</v>
      </c>
      <c r="D69" s="15">
        <v>0.09</v>
      </c>
      <c r="E69" s="15">
        <f>D69*$E$60</f>
        <v>0.09</v>
      </c>
      <c r="F69" s="19"/>
    </row>
    <row r="70" spans="1:6" x14ac:dyDescent="0.3">
      <c r="A70" s="12">
        <v>2</v>
      </c>
      <c r="B70" s="14" t="s">
        <v>4</v>
      </c>
      <c r="C70" s="12" t="s">
        <v>3</v>
      </c>
      <c r="D70" s="15">
        <v>5.0000000000000001E-9</v>
      </c>
      <c r="E70" s="15">
        <f t="shared" ref="E70:E75" si="3">D70*$E$60</f>
        <v>5.0000000000000001E-9</v>
      </c>
      <c r="F70" s="19"/>
    </row>
    <row r="71" spans="1:6" x14ac:dyDescent="0.3">
      <c r="A71" s="12">
        <v>3</v>
      </c>
      <c r="B71" s="14" t="s">
        <v>6</v>
      </c>
      <c r="C71" s="12" t="s">
        <v>3</v>
      </c>
      <c r="D71" s="15">
        <v>3E-9</v>
      </c>
      <c r="E71" s="15">
        <f t="shared" si="3"/>
        <v>3E-9</v>
      </c>
      <c r="F71" s="19"/>
    </row>
    <row r="72" spans="1:6" x14ac:dyDescent="0.3">
      <c r="A72" s="12">
        <v>4</v>
      </c>
      <c r="B72" s="14" t="s">
        <v>8</v>
      </c>
      <c r="C72" s="12" t="s">
        <v>3</v>
      </c>
      <c r="D72" s="15">
        <v>5.0000000000000001E-9</v>
      </c>
      <c r="E72" s="15">
        <f t="shared" si="3"/>
        <v>5.0000000000000001E-9</v>
      </c>
      <c r="F72" s="19"/>
    </row>
    <row r="73" spans="1:6" x14ac:dyDescent="0.3">
      <c r="A73" s="12">
        <v>5</v>
      </c>
      <c r="B73" s="14" t="s">
        <v>5</v>
      </c>
      <c r="C73" s="12" t="s">
        <v>3</v>
      </c>
      <c r="D73" s="15">
        <v>8.0000000000000005E-9</v>
      </c>
      <c r="E73" s="15">
        <f t="shared" si="3"/>
        <v>8.0000000000000005E-9</v>
      </c>
      <c r="F73" s="19"/>
    </row>
    <row r="74" spans="1:6" x14ac:dyDescent="0.3">
      <c r="A74" s="12">
        <v>6</v>
      </c>
      <c r="B74" s="36" t="s">
        <v>59</v>
      </c>
      <c r="C74" s="12" t="s">
        <v>3</v>
      </c>
      <c r="D74" s="15">
        <v>1.9999999999999999E-7</v>
      </c>
      <c r="E74" s="15">
        <f t="shared" si="3"/>
        <v>1.9999999999999999E-7</v>
      </c>
      <c r="F74" s="19"/>
    </row>
    <row r="75" spans="1:6" x14ac:dyDescent="0.3">
      <c r="A75" s="12">
        <v>7</v>
      </c>
      <c r="B75" s="36" t="s">
        <v>60</v>
      </c>
      <c r="C75" s="12" t="s">
        <v>3</v>
      </c>
      <c r="D75" s="15">
        <v>2E-8</v>
      </c>
      <c r="E75" s="15">
        <f t="shared" si="3"/>
        <v>2E-8</v>
      </c>
      <c r="F75" s="19"/>
    </row>
    <row r="76" spans="1:6" x14ac:dyDescent="0.3">
      <c r="A76" s="19"/>
      <c r="B76" s="19"/>
      <c r="C76" s="4"/>
      <c r="D76" s="19"/>
      <c r="E76" s="19"/>
      <c r="F76" s="19"/>
    </row>
    <row r="77" spans="1:6" x14ac:dyDescent="0.3">
      <c r="A77" s="19"/>
      <c r="B77" s="19"/>
      <c r="C77" s="4"/>
      <c r="D77" s="19"/>
      <c r="E77" s="19"/>
      <c r="F77" s="19"/>
    </row>
    <row r="78" spans="1:6" x14ac:dyDescent="0.3">
      <c r="A78" s="20" t="s">
        <v>52</v>
      </c>
      <c r="B78" s="21"/>
      <c r="C78" s="57"/>
      <c r="D78" s="20"/>
      <c r="E78" s="21"/>
      <c r="F78" s="19"/>
    </row>
    <row r="79" spans="1:6" x14ac:dyDescent="0.3">
      <c r="A79" s="22"/>
      <c r="B79" s="22" t="s">
        <v>24</v>
      </c>
      <c r="C79" s="55" t="s">
        <v>22</v>
      </c>
      <c r="D79" s="22">
        <v>100</v>
      </c>
      <c r="E79" s="19"/>
      <c r="F79" s="19"/>
    </row>
    <row r="80" spans="1:6" x14ac:dyDescent="0.3">
      <c r="A80" s="22"/>
      <c r="B80" s="22" t="s">
        <v>23</v>
      </c>
      <c r="C80" s="55" t="s">
        <v>3</v>
      </c>
      <c r="D80" s="47">
        <f>E62+E63</f>
        <v>1.04</v>
      </c>
      <c r="E80" s="19"/>
      <c r="F80" s="19"/>
    </row>
    <row r="81" spans="1:6" x14ac:dyDescent="0.3">
      <c r="A81" s="19"/>
      <c r="B81" s="19"/>
      <c r="C81" s="4"/>
      <c r="D81" s="19"/>
      <c r="E81" s="19"/>
      <c r="F81" s="19"/>
    </row>
    <row r="82" spans="1:6" x14ac:dyDescent="0.3">
      <c r="A82" s="22"/>
      <c r="B82" s="22"/>
      <c r="C82" s="55"/>
      <c r="D82" s="23" t="s">
        <v>21</v>
      </c>
      <c r="E82" s="48">
        <f>E88/D88</f>
        <v>0.104</v>
      </c>
      <c r="F82" s="19"/>
    </row>
    <row r="83" spans="1:6" x14ac:dyDescent="0.3">
      <c r="A83" s="25"/>
      <c r="B83" s="27" t="s">
        <v>26</v>
      </c>
      <c r="C83" s="28" t="s">
        <v>0</v>
      </c>
      <c r="D83" s="28" t="s">
        <v>39</v>
      </c>
      <c r="E83" s="28" t="s">
        <v>40</v>
      </c>
      <c r="F83" s="19"/>
    </row>
    <row r="84" spans="1:6" x14ac:dyDescent="0.3">
      <c r="A84" s="13">
        <v>1</v>
      </c>
      <c r="B84" s="17" t="s">
        <v>20</v>
      </c>
      <c r="C84" s="13" t="s">
        <v>3</v>
      </c>
      <c r="D84" s="18">
        <v>3.1800000000000002E-2</v>
      </c>
      <c r="E84" s="18">
        <f>D84*$E$82</f>
        <v>3.3072000000000002E-3</v>
      </c>
      <c r="F84" s="19"/>
    </row>
    <row r="85" spans="1:6" x14ac:dyDescent="0.3">
      <c r="A85" s="13">
        <v>2</v>
      </c>
      <c r="B85" s="17" t="s">
        <v>31</v>
      </c>
      <c r="C85" s="13" t="s">
        <v>68</v>
      </c>
      <c r="D85" s="30">
        <v>0</v>
      </c>
      <c r="E85" s="30">
        <f>D85*$E$82</f>
        <v>0</v>
      </c>
      <c r="F85" s="19"/>
    </row>
    <row r="86" spans="1:6" x14ac:dyDescent="0.3">
      <c r="A86" s="13">
        <v>3</v>
      </c>
      <c r="B86" s="17" t="s">
        <v>12</v>
      </c>
      <c r="C86" s="13" t="s">
        <v>1</v>
      </c>
      <c r="D86" s="18">
        <v>0.87014999999999998</v>
      </c>
      <c r="E86" s="18">
        <f>D86*$E$82</f>
        <v>9.0495599999999995E-2</v>
      </c>
      <c r="F86" s="19"/>
    </row>
    <row r="87" spans="1:6" x14ac:dyDescent="0.3">
      <c r="A87" s="25"/>
      <c r="B87" s="27" t="s">
        <v>27</v>
      </c>
      <c r="C87" s="5"/>
      <c r="D87" s="5"/>
      <c r="E87" s="22"/>
      <c r="F87" s="19"/>
    </row>
    <row r="88" spans="1:6" x14ac:dyDescent="0.3">
      <c r="A88" s="32" t="s">
        <v>46</v>
      </c>
      <c r="B88" s="7" t="s">
        <v>33</v>
      </c>
      <c r="C88" s="32" t="s">
        <v>7</v>
      </c>
      <c r="D88" s="34">
        <v>1</v>
      </c>
      <c r="E88" s="6">
        <f>D79*D80/1000</f>
        <v>0.104</v>
      </c>
      <c r="F88" s="19"/>
    </row>
    <row r="89" spans="1:6" x14ac:dyDescent="0.3">
      <c r="A89" s="12">
        <v>1</v>
      </c>
      <c r="B89" s="14" t="s">
        <v>2</v>
      </c>
      <c r="C89" s="12" t="s">
        <v>3</v>
      </c>
      <c r="D89" s="15">
        <v>6.3958000000000001E-2</v>
      </c>
      <c r="E89" s="15">
        <f>D89*$E$82</f>
        <v>6.6516320000000002E-3</v>
      </c>
      <c r="F89" s="19"/>
    </row>
    <row r="90" spans="1:6" x14ac:dyDescent="0.3">
      <c r="A90" s="12">
        <v>2</v>
      </c>
      <c r="B90" s="14" t="s">
        <v>4</v>
      </c>
      <c r="C90" s="12" t="s">
        <v>3</v>
      </c>
      <c r="D90" s="15">
        <v>6.2494000000000002E-5</v>
      </c>
      <c r="E90" s="15">
        <f t="shared" ref="E90:E95" si="4">D90*$E$82</f>
        <v>6.4993760000000002E-6</v>
      </c>
      <c r="F90" s="19"/>
    </row>
    <row r="91" spans="1:6" x14ac:dyDescent="0.3">
      <c r="A91" s="12">
        <v>3</v>
      </c>
      <c r="B91" s="14" t="s">
        <v>6</v>
      </c>
      <c r="C91" s="12" t="s">
        <v>3</v>
      </c>
      <c r="D91" s="15">
        <v>5.3865E-4</v>
      </c>
      <c r="E91" s="15">
        <f t="shared" si="4"/>
        <v>5.6019599999999995E-5</v>
      </c>
      <c r="F91" s="19"/>
    </row>
    <row r="92" spans="1:6" x14ac:dyDescent="0.3">
      <c r="A92" s="12">
        <v>4</v>
      </c>
      <c r="B92" s="14" t="s">
        <v>8</v>
      </c>
      <c r="C92" s="12" t="s">
        <v>3</v>
      </c>
      <c r="D92" s="15">
        <v>1.3901000000000001E-13</v>
      </c>
      <c r="E92" s="15">
        <f t="shared" si="4"/>
        <v>1.4457039999999999E-14</v>
      </c>
      <c r="F92" s="19"/>
    </row>
    <row r="93" spans="1:6" x14ac:dyDescent="0.3">
      <c r="A93" s="12">
        <v>5</v>
      </c>
      <c r="B93" s="14" t="s">
        <v>5</v>
      </c>
      <c r="C93" s="12" t="s">
        <v>3</v>
      </c>
      <c r="D93" s="15">
        <v>3.4146000000000001E-5</v>
      </c>
      <c r="E93" s="15">
        <f t="shared" si="4"/>
        <v>3.551184E-6</v>
      </c>
      <c r="F93" s="19"/>
    </row>
    <row r="94" spans="1:6" x14ac:dyDescent="0.3">
      <c r="A94" s="12">
        <v>6</v>
      </c>
      <c r="B94" s="36" t="s">
        <v>59</v>
      </c>
      <c r="C94" s="12" t="s">
        <v>3</v>
      </c>
      <c r="D94" s="15">
        <v>1.2229999999999999E-8</v>
      </c>
      <c r="E94" s="15">
        <f t="shared" si="4"/>
        <v>1.2719199999999999E-9</v>
      </c>
      <c r="F94" s="19"/>
    </row>
    <row r="95" spans="1:6" x14ac:dyDescent="0.3">
      <c r="A95" s="12">
        <v>7</v>
      </c>
      <c r="B95" s="36" t="s">
        <v>60</v>
      </c>
      <c r="C95" s="12" t="s">
        <v>3</v>
      </c>
      <c r="D95" s="15">
        <v>1.3509E-9</v>
      </c>
      <c r="E95" s="15">
        <f t="shared" si="4"/>
        <v>1.4049359999999998E-10</v>
      </c>
      <c r="F95" s="19"/>
    </row>
    <row r="96" spans="1:6" x14ac:dyDescent="0.3">
      <c r="A96" s="19"/>
      <c r="B96" s="19"/>
      <c r="C96" s="4"/>
      <c r="D96" s="19"/>
      <c r="E96" s="19"/>
      <c r="F96" s="19"/>
    </row>
    <row r="97" spans="1:6" x14ac:dyDescent="0.3">
      <c r="A97" s="19"/>
      <c r="B97" s="19"/>
      <c r="C97" s="4"/>
      <c r="D97" s="19"/>
      <c r="E97" s="19"/>
      <c r="F97" s="19"/>
    </row>
    <row r="98" spans="1:6" x14ac:dyDescent="0.3">
      <c r="A98" s="20" t="s">
        <v>53</v>
      </c>
      <c r="B98" s="21"/>
      <c r="C98" s="56"/>
      <c r="D98" s="21"/>
      <c r="E98" s="21"/>
      <c r="F98" s="19"/>
    </row>
    <row r="99" spans="1:6" x14ac:dyDescent="0.3">
      <c r="A99" s="22"/>
      <c r="B99" s="22"/>
      <c r="C99" s="55"/>
      <c r="D99" s="23" t="s">
        <v>21</v>
      </c>
      <c r="E99" s="49">
        <f>E105/D105</f>
        <v>0.04</v>
      </c>
      <c r="F99" s="19"/>
    </row>
    <row r="100" spans="1:6" x14ac:dyDescent="0.3">
      <c r="A100" s="25"/>
      <c r="B100" s="27" t="s">
        <v>26</v>
      </c>
      <c r="C100" s="28" t="s">
        <v>0</v>
      </c>
      <c r="D100" s="28" t="s">
        <v>39</v>
      </c>
      <c r="E100" s="28" t="s">
        <v>40</v>
      </c>
      <c r="F100" s="19"/>
    </row>
    <row r="101" spans="1:6" x14ac:dyDescent="0.3">
      <c r="A101" s="13">
        <v>1</v>
      </c>
      <c r="B101" s="17" t="s">
        <v>20</v>
      </c>
      <c r="C101" s="13" t="s">
        <v>3</v>
      </c>
      <c r="D101" s="17">
        <v>0</v>
      </c>
      <c r="E101" s="17">
        <f>D101*$E$99</f>
        <v>0</v>
      </c>
      <c r="F101" s="19"/>
    </row>
    <row r="102" spans="1:6" x14ac:dyDescent="0.3">
      <c r="A102" s="13">
        <v>2</v>
      </c>
      <c r="B102" s="17" t="s">
        <v>31</v>
      </c>
      <c r="C102" s="13" t="s">
        <v>68</v>
      </c>
      <c r="D102" s="30">
        <v>0</v>
      </c>
      <c r="E102" s="17">
        <f>D102*$E$99</f>
        <v>0</v>
      </c>
      <c r="F102" s="19"/>
    </row>
    <row r="103" spans="1:6" x14ac:dyDescent="0.3">
      <c r="A103" s="13">
        <v>3</v>
      </c>
      <c r="B103" s="17" t="s">
        <v>12</v>
      </c>
      <c r="C103" s="13" t="s">
        <v>1</v>
      </c>
      <c r="D103" s="18">
        <v>0.56055999999999995</v>
      </c>
      <c r="E103" s="50">
        <f>D103*$E$99</f>
        <v>2.2422399999999999E-2</v>
      </c>
      <c r="F103" s="19"/>
    </row>
    <row r="104" spans="1:6" x14ac:dyDescent="0.3">
      <c r="A104" s="25"/>
      <c r="B104" s="27" t="s">
        <v>27</v>
      </c>
      <c r="C104" s="5"/>
      <c r="D104" s="5"/>
      <c r="E104" s="22"/>
      <c r="F104" s="19"/>
    </row>
    <row r="105" spans="1:6" x14ac:dyDescent="0.3">
      <c r="A105" s="41" t="s">
        <v>47</v>
      </c>
      <c r="B105" s="7" t="s">
        <v>29</v>
      </c>
      <c r="C105" s="32" t="s">
        <v>3</v>
      </c>
      <c r="D105" s="34">
        <v>1</v>
      </c>
      <c r="E105" s="35">
        <f>E63</f>
        <v>0.04</v>
      </c>
      <c r="F105" s="19"/>
    </row>
    <row r="106" spans="1:6" x14ac:dyDescent="0.3">
      <c r="A106" s="12">
        <v>1</v>
      </c>
      <c r="B106" s="14" t="s">
        <v>2</v>
      </c>
      <c r="C106" s="12" t="s">
        <v>3</v>
      </c>
      <c r="D106" s="15">
        <v>6.1024000000000002E-2</v>
      </c>
      <c r="E106" s="15">
        <f>D106*$E$99</f>
        <v>2.4409600000000003E-3</v>
      </c>
      <c r="F106" s="19"/>
    </row>
    <row r="107" spans="1:6" x14ac:dyDescent="0.3">
      <c r="A107" s="12">
        <v>2</v>
      </c>
      <c r="B107" s="14" t="s">
        <v>4</v>
      </c>
      <c r="C107" s="12" t="s">
        <v>3</v>
      </c>
      <c r="D107" s="15">
        <v>3.5620999999999998E-4</v>
      </c>
      <c r="E107" s="15">
        <f t="shared" ref="E107:E112" si="5">D107*$E$99</f>
        <v>1.4248399999999999E-5</v>
      </c>
      <c r="F107" s="19"/>
    </row>
    <row r="108" spans="1:6" x14ac:dyDescent="0.3">
      <c r="A108" s="12">
        <v>3</v>
      </c>
      <c r="B108" s="14" t="s">
        <v>6</v>
      </c>
      <c r="C108" s="12" t="s">
        <v>3</v>
      </c>
      <c r="D108" s="15">
        <v>1.5313999999999999E-4</v>
      </c>
      <c r="E108" s="15">
        <f t="shared" si="5"/>
        <v>6.1255999999999994E-6</v>
      </c>
      <c r="F108" s="19"/>
    </row>
    <row r="109" spans="1:6" x14ac:dyDescent="0.3">
      <c r="A109" s="12">
        <v>4</v>
      </c>
      <c r="B109" s="14" t="s">
        <v>8</v>
      </c>
      <c r="C109" s="12" t="s">
        <v>3</v>
      </c>
      <c r="D109" s="15">
        <v>3.8547000000000002E-13</v>
      </c>
      <c r="E109" s="15">
        <f t="shared" si="5"/>
        <v>1.54188E-14</v>
      </c>
      <c r="F109" s="19"/>
    </row>
    <row r="110" spans="1:6" x14ac:dyDescent="0.3">
      <c r="A110" s="12">
        <v>5</v>
      </c>
      <c r="B110" s="14" t="s">
        <v>5</v>
      </c>
      <c r="C110" s="12" t="s">
        <v>3</v>
      </c>
      <c r="D110" s="15">
        <v>1.3013E-4</v>
      </c>
      <c r="E110" s="15">
        <f t="shared" si="5"/>
        <v>5.2052000000000006E-6</v>
      </c>
      <c r="F110" s="19"/>
    </row>
    <row r="111" spans="1:6" x14ac:dyDescent="0.3">
      <c r="A111" s="12">
        <v>6</v>
      </c>
      <c r="B111" s="36" t="s">
        <v>59</v>
      </c>
      <c r="C111" s="12" t="s">
        <v>3</v>
      </c>
      <c r="D111" s="15">
        <v>2.544E-5</v>
      </c>
      <c r="E111" s="15">
        <f t="shared" si="5"/>
        <v>1.0176E-6</v>
      </c>
      <c r="F111" s="19"/>
    </row>
    <row r="112" spans="1:6" x14ac:dyDescent="0.3">
      <c r="A112" s="12">
        <v>7</v>
      </c>
      <c r="B112" s="36" t="s">
        <v>60</v>
      </c>
      <c r="C112" s="12" t="s">
        <v>3</v>
      </c>
      <c r="D112" s="15">
        <v>1.3776000000000001E-9</v>
      </c>
      <c r="E112" s="15">
        <f t="shared" si="5"/>
        <v>5.5104000000000004E-11</v>
      </c>
      <c r="F112" s="19"/>
    </row>
    <row r="113" spans="1:11" x14ac:dyDescent="0.3">
      <c r="A113" s="19"/>
      <c r="B113" s="19"/>
      <c r="C113" s="19"/>
      <c r="D113" s="19"/>
      <c r="E113" s="19"/>
    </row>
    <row r="114" spans="1:11" x14ac:dyDescent="0.3">
      <c r="A114" s="19"/>
      <c r="B114" s="19"/>
      <c r="C114" s="19"/>
      <c r="D114" s="19"/>
      <c r="E114" s="19"/>
    </row>
    <row r="115" spans="1:11" x14ac:dyDescent="0.3">
      <c r="A115" s="19"/>
      <c r="B115" s="19"/>
      <c r="C115" s="19"/>
      <c r="D115" s="19"/>
      <c r="E115" s="19"/>
    </row>
    <row r="116" spans="1:11" ht="25.5" customHeight="1" x14ac:dyDescent="0.3">
      <c r="A116" s="19"/>
      <c r="B116" s="19"/>
      <c r="C116" s="19"/>
      <c r="D116" s="19"/>
      <c r="E116" s="19"/>
      <c r="K116" s="4"/>
    </row>
    <row r="117" spans="1:11" x14ac:dyDescent="0.3">
      <c r="A117" s="19"/>
      <c r="B117" s="19"/>
      <c r="C117" s="19"/>
      <c r="D117" s="19"/>
      <c r="E117" s="19"/>
    </row>
    <row r="118" spans="1:11" x14ac:dyDescent="0.3">
      <c r="A118" s="19"/>
      <c r="B118" s="19"/>
      <c r="C118" s="19"/>
      <c r="D118" s="19"/>
      <c r="E118" s="19"/>
    </row>
    <row r="119" spans="1:11" x14ac:dyDescent="0.3">
      <c r="A119" s="19"/>
      <c r="B119" s="19"/>
      <c r="C119" s="19"/>
      <c r="D119" s="19"/>
      <c r="E119" s="19"/>
    </row>
    <row r="120" spans="1:11" x14ac:dyDescent="0.3">
      <c r="A120" s="19"/>
      <c r="B120" s="19"/>
      <c r="C120" s="19"/>
      <c r="D120" s="19"/>
      <c r="E120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6751D-5F30-4B8D-898F-EB34B340FA71}">
  <dimension ref="A1:K17"/>
  <sheetViews>
    <sheetView zoomScale="160" zoomScaleNormal="160" workbookViewId="0"/>
  </sheetViews>
  <sheetFormatPr defaultRowHeight="14.5" x14ac:dyDescent="0.35"/>
  <cols>
    <col min="1" max="1" width="5.26953125" customWidth="1"/>
    <col min="2" max="2" width="18.1796875" customWidth="1"/>
    <col min="3" max="3" width="6.26953125" customWidth="1"/>
    <col min="4" max="4" width="13.1796875" customWidth="1"/>
    <col min="5" max="5" width="13.7265625" customWidth="1"/>
    <col min="6" max="6" width="11.1796875" customWidth="1"/>
    <col min="7" max="7" width="11.54296875" customWidth="1"/>
    <col min="8" max="8" width="12.26953125" customWidth="1"/>
    <col min="9" max="9" width="11.81640625" customWidth="1"/>
    <col min="10" max="10" width="12.453125" customWidth="1"/>
  </cols>
  <sheetData>
    <row r="1" spans="1:11" x14ac:dyDescent="0.35">
      <c r="A1" s="51"/>
      <c r="B1" s="51"/>
      <c r="C1" s="51"/>
      <c r="D1" s="51"/>
      <c r="E1" s="51"/>
      <c r="F1" s="51"/>
      <c r="G1" s="51"/>
      <c r="H1" s="51"/>
      <c r="I1" s="51"/>
      <c r="J1" s="51"/>
    </row>
    <row r="2" spans="1:11" ht="15.5" x14ac:dyDescent="0.35">
      <c r="A2" s="58" t="s">
        <v>57</v>
      </c>
      <c r="B2" s="86"/>
      <c r="C2" s="86"/>
      <c r="D2" s="86"/>
      <c r="E2" s="86"/>
      <c r="F2" s="86"/>
      <c r="G2" s="86"/>
      <c r="H2" s="86"/>
      <c r="I2" s="86"/>
      <c r="J2" s="86"/>
    </row>
    <row r="3" spans="1:11" ht="34.5" x14ac:dyDescent="0.35">
      <c r="A3" s="3"/>
      <c r="B3" s="2" t="s">
        <v>35</v>
      </c>
      <c r="C3" s="11"/>
      <c r="D3" s="2" t="s">
        <v>10</v>
      </c>
      <c r="E3" s="2" t="s">
        <v>13</v>
      </c>
      <c r="F3" s="2" t="s">
        <v>9</v>
      </c>
      <c r="G3" s="2" t="s">
        <v>16</v>
      </c>
      <c r="H3" s="2" t="s">
        <v>18</v>
      </c>
      <c r="I3" s="2" t="s">
        <v>19</v>
      </c>
      <c r="J3" s="9" t="s">
        <v>38</v>
      </c>
      <c r="K3" s="51"/>
    </row>
    <row r="4" spans="1:11" x14ac:dyDescent="0.35">
      <c r="A4" s="12">
        <v>1</v>
      </c>
      <c r="B4" s="14" t="s">
        <v>2</v>
      </c>
      <c r="C4" s="12" t="s">
        <v>3</v>
      </c>
      <c r="D4" s="15">
        <f t="array" ref="D4:D10">'Processes and Flows'!E15:E21</f>
        <v>3.9331200000000004E-2</v>
      </c>
      <c r="E4" s="15">
        <f t="array" ref="E4:E10">'Processes and Flows'!E33:E39</f>
        <v>6.2672000000000005E-2</v>
      </c>
      <c r="F4" s="15">
        <f t="array" ref="F4:F10">'Processes and Flows'!E50:E56</f>
        <v>5.5491000000000004E-4</v>
      </c>
      <c r="G4" s="15">
        <f t="array" ref="G4:G10">'Processes and Flows'!E69:E75</f>
        <v>0.09</v>
      </c>
      <c r="H4" s="15">
        <f t="array" ref="H4:H10">'Processes and Flows'!E89:E95</f>
        <v>6.6516320000000002E-3</v>
      </c>
      <c r="I4" s="15">
        <f t="array" ref="I4:I10">'Processes and Flows'!E106:E112</f>
        <v>2.4409600000000003E-3</v>
      </c>
      <c r="J4" s="15">
        <f>SUM(D4:I4)</f>
        <v>0.20165070199999999</v>
      </c>
      <c r="K4" s="51"/>
    </row>
    <row r="5" spans="1:11" x14ac:dyDescent="0.35">
      <c r="A5" s="12">
        <v>2</v>
      </c>
      <c r="B5" s="14" t="s">
        <v>4</v>
      </c>
      <c r="C5" s="12" t="s">
        <v>3</v>
      </c>
      <c r="D5" s="15">
        <v>2.5544540000000001E-4</v>
      </c>
      <c r="E5" s="15">
        <v>5.6792000000000008E-4</v>
      </c>
      <c r="F5" s="15">
        <v>6.0894000000000005E-7</v>
      </c>
      <c r="G5" s="15">
        <v>5.0000000000000001E-9</v>
      </c>
      <c r="H5" s="15">
        <v>6.4993760000000002E-6</v>
      </c>
      <c r="I5" s="15">
        <v>1.4248399999999999E-5</v>
      </c>
      <c r="J5" s="15">
        <f t="shared" ref="J5:J13" si="0">SUM(D5:I5)</f>
        <v>8.4472711600000006E-4</v>
      </c>
      <c r="K5" s="51"/>
    </row>
    <row r="6" spans="1:11" x14ac:dyDescent="0.35">
      <c r="A6" s="12">
        <v>3</v>
      </c>
      <c r="B6" s="14" t="s">
        <v>6</v>
      </c>
      <c r="C6" s="12" t="s">
        <v>3</v>
      </c>
      <c r="D6" s="15">
        <v>7.2049400000000002E-5</v>
      </c>
      <c r="E6" s="15">
        <v>1.292E-4</v>
      </c>
      <c r="F6" s="15">
        <v>1.124E-6</v>
      </c>
      <c r="G6" s="15">
        <v>3E-9</v>
      </c>
      <c r="H6" s="15">
        <v>5.6019599999999995E-5</v>
      </c>
      <c r="I6" s="15">
        <v>6.1255999999999994E-6</v>
      </c>
      <c r="J6" s="15">
        <f t="shared" si="0"/>
        <v>2.6452159999999997E-4</v>
      </c>
      <c r="K6" s="51"/>
    </row>
    <row r="7" spans="1:11" x14ac:dyDescent="0.35">
      <c r="A7" s="12">
        <v>4</v>
      </c>
      <c r="B7" s="14" t="s">
        <v>8</v>
      </c>
      <c r="C7" s="12" t="s">
        <v>3</v>
      </c>
      <c r="D7" s="15">
        <v>5.1918000000000002E-13</v>
      </c>
      <c r="E7" s="16">
        <v>0</v>
      </c>
      <c r="F7" s="15">
        <v>6.2636999999999996E-16</v>
      </c>
      <c r="G7" s="15">
        <v>5.0000000000000001E-9</v>
      </c>
      <c r="H7" s="15">
        <v>1.4457039999999999E-14</v>
      </c>
      <c r="I7" s="15">
        <v>1.54188E-14</v>
      </c>
      <c r="J7" s="15">
        <f t="shared" si="0"/>
        <v>5.0005496822099994E-9</v>
      </c>
      <c r="K7" s="51"/>
    </row>
    <row r="8" spans="1:11" x14ac:dyDescent="0.35">
      <c r="A8" s="12">
        <v>5</v>
      </c>
      <c r="B8" s="14" t="s">
        <v>5</v>
      </c>
      <c r="C8" s="12" t="s">
        <v>3</v>
      </c>
      <c r="D8" s="15">
        <v>8.5482800000000008E-5</v>
      </c>
      <c r="E8" s="15">
        <v>1.6306E-4</v>
      </c>
      <c r="F8" s="15">
        <v>6.0455E-7</v>
      </c>
      <c r="G8" s="15">
        <v>8.0000000000000005E-9</v>
      </c>
      <c r="H8" s="15">
        <v>3.551184E-6</v>
      </c>
      <c r="I8" s="15">
        <v>5.2052000000000006E-6</v>
      </c>
      <c r="J8" s="15">
        <f t="shared" si="0"/>
        <v>2.5791173399999999E-4</v>
      </c>
      <c r="K8" s="51"/>
    </row>
    <row r="9" spans="1:11" x14ac:dyDescent="0.35">
      <c r="A9" s="12">
        <v>6</v>
      </c>
      <c r="B9" s="36" t="s">
        <v>59</v>
      </c>
      <c r="C9" s="12" t="s">
        <v>3</v>
      </c>
      <c r="D9" s="15">
        <v>5.5654600000000003E-8</v>
      </c>
      <c r="E9" s="15">
        <v>5.8551999999999994E-6</v>
      </c>
      <c r="F9" s="15">
        <v>4.6995000000000002E-10</v>
      </c>
      <c r="G9" s="15">
        <v>1.9999999999999999E-7</v>
      </c>
      <c r="H9" s="15">
        <v>1.2719199999999999E-9</v>
      </c>
      <c r="I9" s="15">
        <v>1.0176E-6</v>
      </c>
      <c r="J9" s="15">
        <f t="shared" si="0"/>
        <v>7.1301964699999992E-6</v>
      </c>
      <c r="K9" s="51"/>
    </row>
    <row r="10" spans="1:11" x14ac:dyDescent="0.35">
      <c r="A10" s="12">
        <v>7</v>
      </c>
      <c r="B10" s="36" t="s">
        <v>60</v>
      </c>
      <c r="C10" s="12" t="s">
        <v>3</v>
      </c>
      <c r="D10" s="15">
        <v>3.4853400000000003E-9</v>
      </c>
      <c r="E10" s="15">
        <v>3.97916E-7</v>
      </c>
      <c r="F10" s="15">
        <v>1.9429000000000001E-12</v>
      </c>
      <c r="G10" s="15">
        <v>2E-8</v>
      </c>
      <c r="H10" s="15">
        <v>1.4049359999999998E-10</v>
      </c>
      <c r="I10" s="15">
        <v>5.5104000000000004E-11</v>
      </c>
      <c r="J10" s="15">
        <f t="shared" si="0"/>
        <v>4.2159888050000003E-7</v>
      </c>
      <c r="K10" s="51"/>
    </row>
    <row r="11" spans="1:11" x14ac:dyDescent="0.35">
      <c r="A11" s="13">
        <v>8</v>
      </c>
      <c r="B11" s="17" t="s">
        <v>20</v>
      </c>
      <c r="C11" s="13" t="s">
        <v>3</v>
      </c>
      <c r="D11" s="18">
        <f t="array" ref="D11:D13">'Processes and Flows'!E10:E12</f>
        <v>4.9300000000000004E-2</v>
      </c>
      <c r="E11" s="17">
        <f t="array" ref="E11:E13">'Processes and Flows'!E28:E30</f>
        <v>0</v>
      </c>
      <c r="F11" s="17">
        <f t="array" ref="F11:F13">'Processes and Flows'!E45:E47</f>
        <v>0</v>
      </c>
      <c r="G11" s="17">
        <f t="array" ref="G11:G13">'Processes and Flows'!E64:E66</f>
        <v>0</v>
      </c>
      <c r="H11" s="18">
        <f t="array" ref="H11:H13">'Processes and Flows'!E84:E86</f>
        <v>3.3072000000000002E-3</v>
      </c>
      <c r="I11" s="17">
        <f t="array" ref="I11:I13">'Processes and Flows'!E101:E103</f>
        <v>0</v>
      </c>
      <c r="J11" s="15">
        <f t="shared" si="0"/>
        <v>5.2607200000000007E-2</v>
      </c>
      <c r="K11" s="51"/>
    </row>
    <row r="12" spans="1:11" x14ac:dyDescent="0.35">
      <c r="A12" s="13">
        <v>9</v>
      </c>
      <c r="B12" s="17" t="s">
        <v>31</v>
      </c>
      <c r="C12" s="13" t="s">
        <v>68</v>
      </c>
      <c r="D12" s="17">
        <v>0</v>
      </c>
      <c r="E12" s="17">
        <v>0</v>
      </c>
      <c r="F12" s="18">
        <v>1.0196000000000001E-3</v>
      </c>
      <c r="G12" s="17">
        <v>0</v>
      </c>
      <c r="H12" s="17">
        <v>0</v>
      </c>
      <c r="I12" s="17">
        <v>0</v>
      </c>
      <c r="J12" s="15">
        <f t="shared" si="0"/>
        <v>1.0196000000000001E-3</v>
      </c>
      <c r="K12" s="51"/>
    </row>
    <row r="13" spans="1:11" x14ac:dyDescent="0.35">
      <c r="A13" s="13">
        <v>10</v>
      </c>
      <c r="B13" s="17" t="s">
        <v>12</v>
      </c>
      <c r="C13" s="13" t="s">
        <v>1</v>
      </c>
      <c r="D13" s="18">
        <v>1.0629420000000001</v>
      </c>
      <c r="E13" s="18">
        <v>1.0960400000000001</v>
      </c>
      <c r="F13" s="18">
        <v>1.3018E-2</v>
      </c>
      <c r="G13" s="18">
        <v>3</v>
      </c>
      <c r="H13" s="18">
        <v>9.0495599999999995E-2</v>
      </c>
      <c r="I13" s="18">
        <v>2.2422399999999999E-2</v>
      </c>
      <c r="J13" s="15">
        <f t="shared" si="0"/>
        <v>5.2849180000000002</v>
      </c>
      <c r="K13" s="51"/>
    </row>
    <row r="14" spans="1:11" x14ac:dyDescent="0.35">
      <c r="A14" s="51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1" x14ac:dyDescent="0.35">
      <c r="A15" s="51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1" x14ac:dyDescent="0.35">
      <c r="A16" s="51"/>
      <c r="D16" s="51"/>
      <c r="E16" s="51"/>
      <c r="F16" s="51"/>
      <c r="G16" s="51"/>
      <c r="H16" s="51"/>
      <c r="I16" s="51"/>
      <c r="J16" s="51"/>
      <c r="K16" s="51"/>
    </row>
    <row r="17" spans="1:11" x14ac:dyDescent="0.35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41168-F34D-44EA-A1C7-F0163663ED4B}">
  <dimension ref="A2:M28"/>
  <sheetViews>
    <sheetView zoomScale="190" zoomScaleNormal="190" workbookViewId="0">
      <selection activeCell="B12" sqref="B12"/>
    </sheetView>
  </sheetViews>
  <sheetFormatPr defaultColWidth="8.7265625" defaultRowHeight="13" x14ac:dyDescent="0.35"/>
  <cols>
    <col min="1" max="1" width="4.7265625" style="19" customWidth="1"/>
    <col min="2" max="2" width="32.7265625" style="19" customWidth="1"/>
    <col min="3" max="3" width="6.453125" style="19" customWidth="1"/>
    <col min="4" max="4" width="12.1796875" style="19" customWidth="1"/>
    <col min="5" max="5" width="6.1796875" style="19" customWidth="1"/>
    <col min="6" max="6" width="6.54296875" style="19" customWidth="1"/>
    <col min="7" max="7" width="6.26953125" style="19" customWidth="1"/>
    <col min="8" max="8" width="6" style="19" customWidth="1"/>
    <col min="9" max="9" width="6.81640625" style="19" customWidth="1"/>
    <col min="10" max="10" width="7.1796875" style="19" customWidth="1"/>
    <col min="11" max="11" width="7.54296875" style="19" customWidth="1"/>
    <col min="12" max="12" width="7.1796875" style="19" customWidth="1"/>
    <col min="13" max="13" width="7.7265625" style="19" customWidth="1"/>
    <col min="14" max="14" width="6.7265625" style="19" customWidth="1"/>
    <col min="15" max="16384" width="8.7265625" style="19"/>
  </cols>
  <sheetData>
    <row r="2" spans="1:13" ht="15.5" x14ac:dyDescent="0.35">
      <c r="A2" s="58" t="s">
        <v>61</v>
      </c>
      <c r="B2" s="58"/>
      <c r="C2" s="87"/>
      <c r="D2" s="87"/>
      <c r="E2" s="88"/>
      <c r="F2" s="88"/>
      <c r="G2" s="88"/>
      <c r="H2" s="88"/>
      <c r="I2" s="88"/>
      <c r="J2" s="88"/>
      <c r="K2" s="88"/>
      <c r="L2" s="88"/>
      <c r="M2" s="88"/>
    </row>
    <row r="3" spans="1:13" ht="24" customHeight="1" x14ac:dyDescent="0.35">
      <c r="A3" s="7"/>
      <c r="B3" s="8" t="s">
        <v>25</v>
      </c>
      <c r="C3" s="8"/>
      <c r="D3" s="91" t="s">
        <v>36</v>
      </c>
      <c r="E3" s="91" t="s">
        <v>92</v>
      </c>
      <c r="F3" s="91" t="s">
        <v>93</v>
      </c>
      <c r="G3" s="91" t="s">
        <v>94</v>
      </c>
      <c r="H3" s="91" t="s">
        <v>95</v>
      </c>
      <c r="I3" s="91" t="s">
        <v>96</v>
      </c>
      <c r="J3" s="91" t="s">
        <v>59</v>
      </c>
      <c r="K3" s="91" t="s">
        <v>60</v>
      </c>
      <c r="L3" s="92" t="s">
        <v>20</v>
      </c>
      <c r="M3" s="92" t="s">
        <v>34</v>
      </c>
    </row>
    <row r="4" spans="1:13" ht="15" x14ac:dyDescent="0.35">
      <c r="A4" s="13">
        <v>1</v>
      </c>
      <c r="B4" s="17" t="s">
        <v>97</v>
      </c>
      <c r="C4" s="17" t="s">
        <v>85</v>
      </c>
      <c r="D4" s="89" t="s">
        <v>54</v>
      </c>
      <c r="E4" s="25">
        <v>1</v>
      </c>
      <c r="F4" s="25">
        <v>34</v>
      </c>
      <c r="G4" s="25">
        <v>0</v>
      </c>
      <c r="H4" s="25">
        <v>0</v>
      </c>
      <c r="I4" s="25">
        <v>0</v>
      </c>
      <c r="J4" s="25">
        <v>0</v>
      </c>
      <c r="K4" s="25">
        <v>0</v>
      </c>
      <c r="L4" s="25">
        <v>0</v>
      </c>
      <c r="M4" s="25">
        <v>0</v>
      </c>
    </row>
    <row r="5" spans="1:13" x14ac:dyDescent="0.35">
      <c r="A5" s="13">
        <v>2</v>
      </c>
      <c r="B5" s="17" t="s">
        <v>81</v>
      </c>
      <c r="C5" s="17" t="s">
        <v>86</v>
      </c>
      <c r="D5" s="89" t="s">
        <v>62</v>
      </c>
      <c r="E5" s="25">
        <v>0</v>
      </c>
      <c r="F5" s="25">
        <v>0</v>
      </c>
      <c r="G5" s="25">
        <v>1</v>
      </c>
      <c r="H5" s="25">
        <v>1.53</v>
      </c>
      <c r="I5" s="25">
        <v>0</v>
      </c>
      <c r="J5" s="25">
        <v>0.18</v>
      </c>
      <c r="K5" s="25">
        <v>0</v>
      </c>
      <c r="L5" s="25">
        <v>0</v>
      </c>
      <c r="M5" s="25">
        <v>0</v>
      </c>
    </row>
    <row r="6" spans="1:13" x14ac:dyDescent="0.35">
      <c r="A6" s="13">
        <v>3</v>
      </c>
      <c r="B6" s="17" t="s">
        <v>83</v>
      </c>
      <c r="C6" s="17" t="s">
        <v>87</v>
      </c>
      <c r="D6" s="17" t="s">
        <v>63</v>
      </c>
      <c r="E6" s="25">
        <v>0</v>
      </c>
      <c r="F6" s="25">
        <v>0</v>
      </c>
      <c r="G6" s="25">
        <v>0.11</v>
      </c>
      <c r="H6" s="25">
        <v>0.17</v>
      </c>
      <c r="I6" s="25">
        <v>0.28999999999999998</v>
      </c>
      <c r="J6" s="25">
        <v>0</v>
      </c>
      <c r="K6" s="25">
        <v>1</v>
      </c>
      <c r="L6" s="25">
        <v>0</v>
      </c>
      <c r="M6" s="25">
        <v>0</v>
      </c>
    </row>
    <row r="7" spans="1:13" x14ac:dyDescent="0.35">
      <c r="A7" s="13">
        <v>4</v>
      </c>
      <c r="B7" s="17" t="s">
        <v>82</v>
      </c>
      <c r="C7" s="17" t="s">
        <v>88</v>
      </c>
      <c r="D7" s="17" t="s">
        <v>62</v>
      </c>
      <c r="E7" s="25">
        <v>0</v>
      </c>
      <c r="F7" s="25">
        <v>0</v>
      </c>
      <c r="G7" s="25">
        <v>1</v>
      </c>
      <c r="H7" s="25">
        <v>1.53</v>
      </c>
      <c r="I7" s="25">
        <v>0</v>
      </c>
      <c r="J7" s="25">
        <v>0.28999999999999998</v>
      </c>
      <c r="K7" s="25">
        <v>0</v>
      </c>
      <c r="L7" s="25">
        <v>0</v>
      </c>
      <c r="M7" s="25">
        <v>0</v>
      </c>
    </row>
    <row r="8" spans="1:13" x14ac:dyDescent="0.35">
      <c r="A8" s="13">
        <v>5</v>
      </c>
      <c r="B8" s="17" t="s">
        <v>84</v>
      </c>
      <c r="C8" s="17" t="s">
        <v>89</v>
      </c>
      <c r="D8" s="17" t="s">
        <v>64</v>
      </c>
      <c r="E8" s="25">
        <v>0</v>
      </c>
      <c r="F8" s="25">
        <v>0</v>
      </c>
      <c r="G8" s="25">
        <v>0.36</v>
      </c>
      <c r="H8" s="25">
        <v>0.55200000000000005</v>
      </c>
      <c r="I8" s="25">
        <v>1</v>
      </c>
      <c r="J8" s="25">
        <v>0</v>
      </c>
      <c r="K8" s="25">
        <v>0</v>
      </c>
      <c r="L8" s="25">
        <v>0</v>
      </c>
      <c r="M8" s="25">
        <v>0</v>
      </c>
    </row>
    <row r="9" spans="1:13" x14ac:dyDescent="0.35">
      <c r="A9" s="13">
        <v>6</v>
      </c>
      <c r="B9" s="17" t="s">
        <v>65</v>
      </c>
      <c r="C9" s="17" t="s">
        <v>90</v>
      </c>
      <c r="D9" s="17" t="s">
        <v>66</v>
      </c>
      <c r="E9" s="25">
        <v>0</v>
      </c>
      <c r="F9" s="25">
        <v>0</v>
      </c>
      <c r="G9" s="25">
        <v>0</v>
      </c>
      <c r="H9" s="25">
        <v>0</v>
      </c>
      <c r="I9" s="25">
        <v>0</v>
      </c>
      <c r="J9" s="25">
        <v>0</v>
      </c>
      <c r="K9" s="25">
        <v>0</v>
      </c>
      <c r="L9" s="25">
        <v>1</v>
      </c>
      <c r="M9" s="25">
        <v>0</v>
      </c>
    </row>
    <row r="10" spans="1:13" x14ac:dyDescent="0.35">
      <c r="A10" s="13">
        <v>7</v>
      </c>
      <c r="B10" s="17" t="s">
        <v>67</v>
      </c>
      <c r="C10" s="17" t="s">
        <v>91</v>
      </c>
      <c r="D10" s="89" t="s">
        <v>68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5">
        <v>0</v>
      </c>
      <c r="L10" s="25">
        <v>0</v>
      </c>
      <c r="M10" s="25">
        <v>1</v>
      </c>
    </row>
    <row r="27" spans="2:4" ht="14.5" x14ac:dyDescent="0.35">
      <c r="B27" s="51"/>
      <c r="D27" s="51"/>
    </row>
    <row r="28" spans="2:4" ht="14.5" x14ac:dyDescent="0.35">
      <c r="B28" s="51"/>
      <c r="D28" s="51"/>
    </row>
  </sheetData>
  <conditionalFormatting sqref="E4:M10">
    <cfRule type="cellIs" dxfId="0" priority="1" operator="greaterThan">
      <formula>0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9597-16F3-477F-A629-DC979A74AE6E}">
  <dimension ref="A3:M14"/>
  <sheetViews>
    <sheetView topLeftCell="A8" zoomScale="205" zoomScaleNormal="205" workbookViewId="0">
      <selection activeCell="K5" sqref="K5:K11"/>
    </sheetView>
  </sheetViews>
  <sheetFormatPr defaultRowHeight="14.5" x14ac:dyDescent="0.35"/>
  <cols>
    <col min="2" max="2" width="25" customWidth="1"/>
    <col min="3" max="3" width="11.26953125" customWidth="1"/>
    <col min="4" max="4" width="12.7265625" customWidth="1"/>
    <col min="5" max="5" width="10.26953125" customWidth="1"/>
    <col min="6" max="6" width="10.1796875" customWidth="1"/>
    <col min="7" max="7" width="11.7265625" customWidth="1"/>
    <col min="8" max="8" width="12" customWidth="1"/>
    <col min="9" max="9" width="11.81640625" customWidth="1"/>
    <col min="10" max="10" width="11.7265625" customWidth="1"/>
    <col min="11" max="11" width="12.26953125" customWidth="1"/>
    <col min="13" max="13" width="10.1796875" bestFit="1" customWidth="1"/>
  </cols>
  <sheetData>
    <row r="3" spans="1:13" ht="15.5" x14ac:dyDescent="0.35">
      <c r="A3" s="58" t="s">
        <v>58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3" ht="31.5" x14ac:dyDescent="0.35">
      <c r="A4" s="93"/>
      <c r="B4" s="93" t="s">
        <v>25</v>
      </c>
      <c r="C4" s="93"/>
      <c r="D4" s="93" t="s">
        <v>36</v>
      </c>
      <c r="E4" s="93" t="s">
        <v>10</v>
      </c>
      <c r="F4" s="93" t="s">
        <v>13</v>
      </c>
      <c r="G4" s="93" t="s">
        <v>9</v>
      </c>
      <c r="H4" s="93" t="s">
        <v>16</v>
      </c>
      <c r="I4" s="93" t="s">
        <v>18</v>
      </c>
      <c r="J4" s="93" t="s">
        <v>19</v>
      </c>
      <c r="K4" s="93" t="s">
        <v>37</v>
      </c>
    </row>
    <row r="5" spans="1:13" ht="15" x14ac:dyDescent="0.35">
      <c r="A5" s="13">
        <v>1</v>
      </c>
      <c r="B5" s="17" t="s">
        <v>97</v>
      </c>
      <c r="C5" s="17" t="s">
        <v>85</v>
      </c>
      <c r="D5" s="89" t="s">
        <v>54</v>
      </c>
      <c r="E5" s="90">
        <f t="array" ref="E5:K11">MMULT('CF table'!E4:M10,LCI!D4:J12)</f>
        <v>4.8016343600000004E-2</v>
      </c>
      <c r="F5" s="90">
        <v>8.1981280000000004E-2</v>
      </c>
      <c r="G5" s="90">
        <v>5.7561396000000006E-4</v>
      </c>
      <c r="H5" s="90">
        <v>9.000016999999999E-2</v>
      </c>
      <c r="I5" s="90">
        <v>6.8726107839999998E-3</v>
      </c>
      <c r="J5" s="90">
        <v>2.9254056000000001E-3</v>
      </c>
      <c r="K5" s="39">
        <v>0.23037142394399998</v>
      </c>
      <c r="M5" s="94">
        <f>SUM(E5:J5)</f>
        <v>0.23037142394400001</v>
      </c>
    </row>
    <row r="6" spans="1:13" x14ac:dyDescent="0.35">
      <c r="A6" s="13">
        <v>2</v>
      </c>
      <c r="B6" s="17" t="s">
        <v>81</v>
      </c>
      <c r="C6" s="17" t="s">
        <v>86</v>
      </c>
      <c r="D6" s="89" t="s">
        <v>62</v>
      </c>
      <c r="E6" s="90">
        <v>7.2059418622345402E-5</v>
      </c>
      <c r="F6" s="90">
        <v>1.3025393599999999E-4</v>
      </c>
      <c r="G6" s="90">
        <v>1.1240845919583461E-6</v>
      </c>
      <c r="H6" s="90">
        <v>4.6649999999999998E-8</v>
      </c>
      <c r="I6" s="90">
        <v>5.6019828967719264E-5</v>
      </c>
      <c r="J6" s="90">
        <v>6.3087680235907633E-6</v>
      </c>
      <c r="K6" s="39">
        <v>2.6581268620561374E-4</v>
      </c>
      <c r="M6" s="94">
        <f t="shared" ref="M6:M14" si="0">SUM(E6:J6)</f>
        <v>2.658126862056138E-4</v>
      </c>
    </row>
    <row r="7" spans="1:13" x14ac:dyDescent="0.35">
      <c r="A7" s="13">
        <v>3</v>
      </c>
      <c r="B7" s="17" t="s">
        <v>83</v>
      </c>
      <c r="C7" s="17" t="s">
        <v>87</v>
      </c>
      <c r="D7" s="17" t="s">
        <v>63</v>
      </c>
      <c r="E7" s="90">
        <v>3.2718931428260598E-5</v>
      </c>
      <c r="F7" s="90">
        <v>6.1897316000000005E-5</v>
      </c>
      <c r="G7" s="90">
        <v>2.9896144300648289E-7</v>
      </c>
      <c r="H7" s="90">
        <v>2.3499999999999999E-8</v>
      </c>
      <c r="I7" s="90">
        <v>7.1921398560576955E-6</v>
      </c>
      <c r="J7" s="90">
        <v>2.1833791066211961E-6</v>
      </c>
      <c r="K7" s="39">
        <v>1.0431422783394595E-4</v>
      </c>
      <c r="M7" s="94">
        <f t="shared" si="0"/>
        <v>1.0431422783394598E-4</v>
      </c>
    </row>
    <row r="8" spans="1:13" x14ac:dyDescent="0.35">
      <c r="A8" s="13">
        <v>4</v>
      </c>
      <c r="B8" s="17" t="s">
        <v>82</v>
      </c>
      <c r="C8" s="17" t="s">
        <v>88</v>
      </c>
      <c r="D8" s="17" t="s">
        <v>62</v>
      </c>
      <c r="E8" s="90">
        <v>7.2065540628345404E-5</v>
      </c>
      <c r="F8" s="90">
        <v>1.30898008E-4</v>
      </c>
      <c r="G8" s="90">
        <v>1.1241362864583461E-6</v>
      </c>
      <c r="H8" s="90">
        <v>6.8649999999999996E-8</v>
      </c>
      <c r="I8" s="90">
        <v>5.6019968878919267E-5</v>
      </c>
      <c r="J8" s="90">
        <v>6.4207040235907632E-6</v>
      </c>
      <c r="K8" s="39">
        <v>2.6659700781731378E-4</v>
      </c>
      <c r="M8" s="94">
        <f t="shared" si="0"/>
        <v>2.6659700781731378E-4</v>
      </c>
    </row>
    <row r="9" spans="1:13" x14ac:dyDescent="0.35">
      <c r="A9" s="13">
        <v>5</v>
      </c>
      <c r="B9" s="17" t="s">
        <v>84</v>
      </c>
      <c r="C9" s="17" t="s">
        <v>89</v>
      </c>
      <c r="D9" s="17" t="s">
        <v>64</v>
      </c>
      <c r="E9" s="90">
        <v>1.1142058428658736E-4</v>
      </c>
      <c r="F9" s="90">
        <v>2.0957199999999999E-4</v>
      </c>
      <c r="G9" s="90">
        <v>1.0091900003457563E-6</v>
      </c>
      <c r="H9" s="90">
        <v>1.184E-8</v>
      </c>
      <c r="I9" s="90">
        <v>2.3718240007980286E-5</v>
      </c>
      <c r="J9" s="90">
        <v>7.4104160085111783E-6</v>
      </c>
      <c r="K9" s="39">
        <v>3.5314227030342458E-4</v>
      </c>
      <c r="M9" s="94">
        <f t="shared" si="0"/>
        <v>3.5314227030342458E-4</v>
      </c>
    </row>
    <row r="10" spans="1:13" x14ac:dyDescent="0.35">
      <c r="A10" s="13">
        <v>6</v>
      </c>
      <c r="B10" s="17" t="s">
        <v>65</v>
      </c>
      <c r="C10" s="17" t="s">
        <v>90</v>
      </c>
      <c r="D10" s="17" t="s">
        <v>66</v>
      </c>
      <c r="E10" s="90">
        <v>4.9300000000000004E-2</v>
      </c>
      <c r="F10" s="90">
        <v>0</v>
      </c>
      <c r="G10" s="90">
        <v>0</v>
      </c>
      <c r="H10" s="90">
        <v>0</v>
      </c>
      <c r="I10" s="90">
        <v>3.3072000000000002E-3</v>
      </c>
      <c r="J10" s="90">
        <v>0</v>
      </c>
      <c r="K10" s="39">
        <v>5.2607200000000007E-2</v>
      </c>
      <c r="M10" s="94">
        <f t="shared" si="0"/>
        <v>5.2607200000000007E-2</v>
      </c>
    </row>
    <row r="11" spans="1:13" x14ac:dyDescent="0.35">
      <c r="A11" s="13">
        <v>7</v>
      </c>
      <c r="B11" s="17" t="s">
        <v>67</v>
      </c>
      <c r="C11" s="17" t="s">
        <v>91</v>
      </c>
      <c r="D11" s="89" t="s">
        <v>68</v>
      </c>
      <c r="E11" s="90">
        <v>0</v>
      </c>
      <c r="F11" s="90">
        <v>0</v>
      </c>
      <c r="G11" s="90">
        <v>1.0196000000000001E-3</v>
      </c>
      <c r="H11" s="90">
        <v>0</v>
      </c>
      <c r="I11" s="90">
        <v>0</v>
      </c>
      <c r="J11" s="90">
        <v>0</v>
      </c>
      <c r="K11" s="39">
        <v>1.0196000000000001E-3</v>
      </c>
      <c r="M11" s="94">
        <f t="shared" si="0"/>
        <v>1.0196000000000001E-3</v>
      </c>
    </row>
    <row r="12" spans="1:13" x14ac:dyDescent="0.35">
      <c r="M12" s="94"/>
    </row>
    <row r="14" spans="1:13" x14ac:dyDescent="0.35">
      <c r="A14" s="13"/>
      <c r="B14" s="17" t="s">
        <v>12</v>
      </c>
      <c r="C14" s="17" t="s">
        <v>12</v>
      </c>
      <c r="D14" s="89" t="s">
        <v>1</v>
      </c>
      <c r="E14" s="15">
        <f t="array" ref="E14:K14">LCI!D13:J13</f>
        <v>1.0629420000000001</v>
      </c>
      <c r="F14" s="15">
        <v>1.0960400000000001</v>
      </c>
      <c r="G14" s="15">
        <v>1.3018E-2</v>
      </c>
      <c r="H14" s="15">
        <v>3</v>
      </c>
      <c r="I14" s="15">
        <v>9.0495599999999995E-2</v>
      </c>
      <c r="J14" s="15">
        <v>2.2422399999999999E-2</v>
      </c>
      <c r="K14" s="39">
        <v>5.2849180000000002</v>
      </c>
      <c r="M14" s="94">
        <f t="shared" si="0"/>
        <v>5.2849180000000002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D051-3E48-48E7-9F22-6874B14BBDDC}">
  <dimension ref="A2:J24"/>
  <sheetViews>
    <sheetView tabSelected="1" zoomScale="190" zoomScaleNormal="190" workbookViewId="0">
      <selection activeCell="A21" sqref="A21:D24"/>
    </sheetView>
  </sheetViews>
  <sheetFormatPr defaultColWidth="8.7265625" defaultRowHeight="13" x14ac:dyDescent="0.35"/>
  <cols>
    <col min="1" max="1" width="3.26953125" style="19" customWidth="1"/>
    <col min="2" max="2" width="21.1796875" style="19" customWidth="1"/>
    <col min="3" max="3" width="11.54296875" style="19" customWidth="1"/>
    <col min="4" max="4" width="14.7265625" style="19" customWidth="1"/>
    <col min="5" max="5" width="12.81640625" style="19" customWidth="1"/>
    <col min="6" max="6" width="11.453125" style="19" customWidth="1"/>
    <col min="7" max="7" width="11.1796875" style="19" customWidth="1"/>
    <col min="8" max="8" width="11.81640625" style="19" customWidth="1"/>
    <col min="9" max="9" width="11.7265625" style="19" customWidth="1"/>
    <col min="10" max="16384" width="8.7265625" style="19"/>
  </cols>
  <sheetData>
    <row r="2" spans="1:10" ht="15.5" x14ac:dyDescent="0.35">
      <c r="A2" s="58"/>
      <c r="B2" s="58" t="s">
        <v>79</v>
      </c>
      <c r="C2" s="58"/>
      <c r="D2" s="58"/>
      <c r="E2" s="58"/>
      <c r="F2" s="58"/>
      <c r="G2" s="58"/>
      <c r="H2" s="58"/>
      <c r="I2" s="58"/>
      <c r="J2" s="58"/>
    </row>
    <row r="3" spans="1:10" x14ac:dyDescent="0.35">
      <c r="A3" s="61"/>
      <c r="B3" s="61"/>
      <c r="C3" s="61"/>
      <c r="D3" s="62" t="s">
        <v>98</v>
      </c>
      <c r="E3" s="63" t="s">
        <v>86</v>
      </c>
      <c r="F3" s="63" t="s">
        <v>87</v>
      </c>
      <c r="G3" s="63" t="s">
        <v>88</v>
      </c>
      <c r="H3" s="63" t="s">
        <v>89</v>
      </c>
      <c r="I3" s="63" t="s">
        <v>90</v>
      </c>
      <c r="J3" s="63" t="s">
        <v>91</v>
      </c>
    </row>
    <row r="4" spans="1:10" ht="13.5" x14ac:dyDescent="0.35">
      <c r="A4" s="64"/>
      <c r="B4" s="65" t="s">
        <v>69</v>
      </c>
      <c r="C4" s="64" t="s">
        <v>0</v>
      </c>
      <c r="D4" s="66" t="s">
        <v>78</v>
      </c>
      <c r="E4" s="67" t="s">
        <v>62</v>
      </c>
      <c r="F4" s="68" t="s">
        <v>63</v>
      </c>
      <c r="G4" s="68" t="s">
        <v>62</v>
      </c>
      <c r="H4" s="68" t="s">
        <v>64</v>
      </c>
      <c r="I4" s="68" t="s">
        <v>66</v>
      </c>
      <c r="J4" s="67" t="s">
        <v>68</v>
      </c>
    </row>
    <row r="5" spans="1:10" x14ac:dyDescent="0.35">
      <c r="A5" s="69">
        <v>1</v>
      </c>
      <c r="B5" s="70" t="s">
        <v>99</v>
      </c>
      <c r="C5" s="70" t="s">
        <v>71</v>
      </c>
      <c r="D5" s="71">
        <v>9.2800000000000005E-7</v>
      </c>
      <c r="E5" s="71">
        <v>9.0999999999999997E-7</v>
      </c>
      <c r="F5" s="71">
        <v>6.29E-4</v>
      </c>
      <c r="G5" s="59">
        <v>0</v>
      </c>
      <c r="H5" s="59">
        <v>0</v>
      </c>
      <c r="I5" s="59">
        <v>0</v>
      </c>
      <c r="J5" s="72">
        <f>0.00000222</f>
        <v>2.2199999999999999E-6</v>
      </c>
    </row>
    <row r="6" spans="1:10" x14ac:dyDescent="0.35">
      <c r="A6" s="25" t="s">
        <v>75</v>
      </c>
      <c r="B6" s="73" t="s">
        <v>100</v>
      </c>
      <c r="C6" s="73" t="s">
        <v>72</v>
      </c>
      <c r="D6" s="74">
        <v>2.7999999999999998E-9</v>
      </c>
      <c r="E6" s="25">
        <v>0</v>
      </c>
      <c r="F6" s="25">
        <v>0</v>
      </c>
      <c r="G6" s="74">
        <v>1.29E-7</v>
      </c>
      <c r="H6" s="75">
        <v>2.1199999999999999E-7</v>
      </c>
      <c r="I6" s="25">
        <v>0</v>
      </c>
      <c r="J6" s="74">
        <f>0.0000000135</f>
        <v>1.35E-8</v>
      </c>
    </row>
    <row r="7" spans="1:10" x14ac:dyDescent="0.35">
      <c r="A7" s="25" t="s">
        <v>76</v>
      </c>
      <c r="B7" s="73" t="s">
        <v>101</v>
      </c>
      <c r="C7" s="73" t="s">
        <v>72</v>
      </c>
      <c r="D7" s="76">
        <v>7.6500000000000002E-14</v>
      </c>
      <c r="E7" s="25">
        <v>0</v>
      </c>
      <c r="F7" s="25">
        <v>0</v>
      </c>
      <c r="G7" s="25">
        <v>0</v>
      </c>
      <c r="H7" s="25">
        <v>0</v>
      </c>
      <c r="I7" s="25">
        <v>0</v>
      </c>
      <c r="J7" s="76">
        <f>0.000000000000604</f>
        <v>6.0399999999999995E-13</v>
      </c>
    </row>
    <row r="8" spans="1:10" x14ac:dyDescent="0.35">
      <c r="A8" s="25" t="s">
        <v>77</v>
      </c>
      <c r="B8" s="73" t="s">
        <v>102</v>
      </c>
      <c r="C8" s="73" t="s">
        <v>72</v>
      </c>
      <c r="D8" s="25">
        <v>0</v>
      </c>
      <c r="E8" s="25">
        <v>0</v>
      </c>
      <c r="F8" s="25">
        <v>0</v>
      </c>
      <c r="G8" s="25">
        <v>0</v>
      </c>
      <c r="H8" s="25">
        <v>0</v>
      </c>
      <c r="I8" s="25">
        <v>0</v>
      </c>
      <c r="J8" s="25">
        <v>0</v>
      </c>
    </row>
    <row r="9" spans="1:10" x14ac:dyDescent="0.35">
      <c r="A9" s="60">
        <v>3</v>
      </c>
      <c r="B9" s="77" t="s">
        <v>70</v>
      </c>
      <c r="C9" s="77" t="s">
        <v>73</v>
      </c>
      <c r="D9" s="60">
        <v>0</v>
      </c>
      <c r="E9" s="60">
        <v>0</v>
      </c>
      <c r="F9" s="60">
        <v>0</v>
      </c>
      <c r="G9" s="60">
        <v>0</v>
      </c>
      <c r="H9" s="60">
        <v>0</v>
      </c>
      <c r="I9" s="78">
        <v>0.45656753641314352</v>
      </c>
      <c r="J9" s="60">
        <v>0</v>
      </c>
    </row>
    <row r="13" spans="1:10" x14ac:dyDescent="0.35">
      <c r="A13" s="79"/>
      <c r="B13" s="63" t="s">
        <v>69</v>
      </c>
      <c r="C13" s="63" t="s">
        <v>0</v>
      </c>
      <c r="D13" s="63" t="s">
        <v>74</v>
      </c>
    </row>
    <row r="14" spans="1:10" x14ac:dyDescent="0.35">
      <c r="A14" s="69">
        <v>1</v>
      </c>
      <c r="B14" s="70" t="s">
        <v>99</v>
      </c>
      <c r="C14" s="69" t="s">
        <v>71</v>
      </c>
      <c r="D14" s="80">
        <f t="array" ref="D14:D18">MMULT(D5:J9, 'LCIA midpoints'!K5:K11)</f>
        <v>2.8190373227203113E-7</v>
      </c>
    </row>
    <row r="15" spans="1:10" x14ac:dyDescent="0.35">
      <c r="A15" s="25" t="s">
        <v>75</v>
      </c>
      <c r="B15" s="73" t="s">
        <v>100</v>
      </c>
      <c r="C15" s="25" t="s">
        <v>72</v>
      </c>
      <c r="D15" s="81">
        <v>7.680617623559594E-10</v>
      </c>
    </row>
    <row r="16" spans="1:10" x14ac:dyDescent="0.35">
      <c r="A16" s="25" t="s">
        <v>76</v>
      </c>
      <c r="B16" s="73" t="s">
        <v>101</v>
      </c>
      <c r="C16" s="25" t="s">
        <v>72</v>
      </c>
      <c r="D16" s="81">
        <v>1.8239252331716E-14</v>
      </c>
    </row>
    <row r="17" spans="1:4" x14ac:dyDescent="0.35">
      <c r="A17" s="25" t="s">
        <v>77</v>
      </c>
      <c r="B17" s="73" t="s">
        <v>102</v>
      </c>
      <c r="C17" s="25" t="s">
        <v>72</v>
      </c>
      <c r="D17" s="81">
        <v>0</v>
      </c>
    </row>
    <row r="18" spans="1:4" x14ac:dyDescent="0.35">
      <c r="A18" s="60">
        <v>3</v>
      </c>
      <c r="B18" s="77" t="s">
        <v>70</v>
      </c>
      <c r="C18" s="60" t="s">
        <v>73</v>
      </c>
      <c r="D18" s="83">
        <v>2.4018739701593527E-2</v>
      </c>
    </row>
    <row r="21" spans="1:4" x14ac:dyDescent="0.35">
      <c r="A21" s="79"/>
      <c r="B21" s="63" t="s">
        <v>69</v>
      </c>
      <c r="C21" s="63" t="s">
        <v>0</v>
      </c>
      <c r="D21" s="63" t="s">
        <v>74</v>
      </c>
    </row>
    <row r="22" spans="1:4" x14ac:dyDescent="0.35">
      <c r="A22" s="69">
        <v>1</v>
      </c>
      <c r="B22" s="70" t="s">
        <v>99</v>
      </c>
      <c r="C22" s="69" t="s">
        <v>71</v>
      </c>
      <c r="D22" s="80">
        <f>D14</f>
        <v>2.8190373227203113E-7</v>
      </c>
    </row>
    <row r="23" spans="1:4" x14ac:dyDescent="0.35">
      <c r="A23" s="25">
        <v>2</v>
      </c>
      <c r="B23" s="73" t="s">
        <v>100</v>
      </c>
      <c r="C23" s="25" t="s">
        <v>72</v>
      </c>
      <c r="D23" s="81">
        <f>SUM(D15:D17)</f>
        <v>7.6808000160829109E-10</v>
      </c>
    </row>
    <row r="24" spans="1:4" x14ac:dyDescent="0.35">
      <c r="A24" s="60">
        <v>3</v>
      </c>
      <c r="B24" s="82" t="s">
        <v>70</v>
      </c>
      <c r="C24" s="60" t="s">
        <v>73</v>
      </c>
      <c r="D24" s="83">
        <f>D18</f>
        <v>2.4018739701593527E-2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Processes and Flows</vt:lpstr>
      <vt:lpstr>LCI</vt:lpstr>
      <vt:lpstr>CF table</vt:lpstr>
      <vt:lpstr>LCIA midpoints</vt:lpstr>
      <vt:lpstr>LCIA ReCiPe endpoints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Poh Kim Leng</dc:creator>
  <cp:lastModifiedBy>Poh Kim Leng</cp:lastModifiedBy>
  <dcterms:created xsi:type="dcterms:W3CDTF">2015-06-05T18:17:20Z</dcterms:created>
  <dcterms:modified xsi:type="dcterms:W3CDTF">2026-08-24T05:38:57Z</dcterms:modified>
</cp:coreProperties>
</file>